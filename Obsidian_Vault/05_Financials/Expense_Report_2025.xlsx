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ransactions" sheetId="1" r:id="rId4"/>
    <sheet state="visible" name="Category Summary" sheetId="2" r:id="rId5"/>
    <sheet state="visible" name="Monthly Breakdown" sheetId="3" r:id="rId6"/>
    <sheet state="visible" name="Asset Detail" sheetId="4" r:id="rId7"/>
    <sheet state="visible" name="Supplies &amp; Office Detail" sheetId="5" r:id="rId8"/>
    <sheet state="visible" name="Cash Receipt Detail" sheetId="6" r:id="rId9"/>
    <sheet state="visible" name="Partner Distributions" sheetId="7" r:id="rId10"/>
  </sheets>
  <definedNames/>
  <calcPr/>
  <extLst>
    <ext uri="GoogleSheetsCustomDataVersion2">
      <go:sheetsCustomData xmlns:go="http://customooxmlschemas.google.com/" r:id="rId11" roundtripDataChecksum="+HAYEOWsYdsn0JVSIns5dDhGLEQHXtMTZst4xjkkLho="/>
    </ext>
  </extLst>
</workbook>
</file>

<file path=xl/sharedStrings.xml><?xml version="1.0" encoding="utf-8"?>
<sst xmlns="http://schemas.openxmlformats.org/spreadsheetml/2006/main" count="1372" uniqueCount="314">
  <si>
    <t>Torus Coffee Company LLC – 2025 Expense Report</t>
  </si>
  <si>
    <t>Date</t>
  </si>
  <si>
    <t>Account</t>
  </si>
  <si>
    <t>Type</t>
  </si>
  <si>
    <t>Description</t>
  </si>
  <si>
    <t>Category</t>
  </si>
  <si>
    <t>Amount</t>
  </si>
  <si>
    <t>2025-03-07</t>
  </si>
  <si>
    <t>Savings (5016)</t>
  </si>
  <si>
    <t>CREDIT</t>
  </si>
  <si>
    <t>DEPOSIT</t>
  </si>
  <si>
    <t>Income – Other Deposit</t>
  </si>
  <si>
    <t>Checking (5287)</t>
  </si>
  <si>
    <t>2025-03-18</t>
  </si>
  <si>
    <t>TELEPHONE TRANSFER 5284</t>
  </si>
  <si>
    <t>2025-03-19</t>
  </si>
  <si>
    <t>DEBIT</t>
  </si>
  <si>
    <t>DEBIT PURCHASE -VISA LEGALZOOM* BOIR 888-3100151 CA</t>
  </si>
  <si>
    <t>Legal &amp; Professional Fees</t>
  </si>
  <si>
    <t>2025-03-25</t>
  </si>
  <si>
    <t>ELECTRONIC DEPOSIT SCHWAB BROKERAGE</t>
  </si>
  <si>
    <t>Owner Contribution – Personal Funds (Non-Taxable)</t>
  </si>
  <si>
    <t>INTERNET BANKING TRANSFER WITHDRAWAL 5287</t>
  </si>
  <si>
    <t>Transfer – Between Accounts</t>
  </si>
  <si>
    <t>INTEREST PAID THIS PERIOD</t>
  </si>
  <si>
    <t>Income – Interest</t>
  </si>
  <si>
    <t>MONTHLY MAINTENANCE FEE</t>
  </si>
  <si>
    <t>Bank Fees &amp; Charges</t>
  </si>
  <si>
    <t>MONTHLY MAINTENANCE FEE WAIVED</t>
  </si>
  <si>
    <t>Income – Bank Fee Refund</t>
  </si>
  <si>
    <t>INTERNET BANKING TRANSFER DEPOSIT 5016</t>
  </si>
  <si>
    <t>2025-03-26</t>
  </si>
  <si>
    <t>DEBIT PURCHASE -VISA WIX.COM         1-415-639903CA</t>
  </si>
  <si>
    <t>Advertising &amp; Marketing</t>
  </si>
  <si>
    <t>DEBIT PURCHASE -VISA LEGALZOOM* BIZ L888-3100151 CA</t>
  </si>
  <si>
    <t>2025-03-27</t>
  </si>
  <si>
    <t>DEBIT PURCHASE -VISA CLIP STUDIO PAINSHIBUYA-KU</t>
  </si>
  <si>
    <t>Software &amp; Subscriptions</t>
  </si>
  <si>
    <t>INTERNATIONAL PROCESSING FEE</t>
  </si>
  <si>
    <t>SALES TAX</t>
  </si>
  <si>
    <t>Taxes &amp; Licenses</t>
  </si>
  <si>
    <t>2025-03-28</t>
  </si>
  <si>
    <t>DEBIT PURCHASE -VISA HARVEST RIGHT   801-3868960 UT</t>
  </si>
  <si>
    <t>Equipment &amp; Supplies – Business (Section 179 Eligible)</t>
  </si>
  <si>
    <t>2025-03-31</t>
  </si>
  <si>
    <t>DEBIT PURCHASE -VISA AMAZON MARK* 0A5AMAZON.COM/MWA</t>
  </si>
  <si>
    <t>Office Supplies / Equipment</t>
  </si>
  <si>
    <t>DEBIT PURCHASE -VISA AMAZON MARK* UU2AMAZON.COM/MWA</t>
  </si>
  <si>
    <t>DEBIT PURCHASE -VISA TRACFONE    *AIRTRACFONE.COMFL</t>
  </si>
  <si>
    <t>Telephone &amp; Communications</t>
  </si>
  <si>
    <t>2025-04-16</t>
  </si>
  <si>
    <t>2025-04-17</t>
  </si>
  <si>
    <t>DEBIT PURCHASE -VISA AMAZON MKTPL*TR2Amzn.com/bilWA</t>
  </si>
  <si>
    <t>2025-04-18</t>
  </si>
  <si>
    <t>DEBIT PURCHASE -VISA AMAZON MARK* 995AMAZON.COM/MWA</t>
  </si>
  <si>
    <t>2025-04-21</t>
  </si>
  <si>
    <t>ATM FEE-BAL INQ AT OTHER NETWORK</t>
  </si>
  <si>
    <t>ATM WITHDRAWAL 370 SCOTT CT    IOWA CITY   IAUS1</t>
  </si>
  <si>
    <t>Cash Withdrawal</t>
  </si>
  <si>
    <t>ATM FEE 042125PLUSTERM370 SCOTT CT    IOWA CITY   IAUS1</t>
  </si>
  <si>
    <t>2025-04-22</t>
  </si>
  <si>
    <t>2025-04-23</t>
  </si>
  <si>
    <t>DEBIT PURCHASE CASEYS #3858 370IOWA CITY   IA</t>
  </si>
  <si>
    <t>Product Testing – Raw Materials</t>
  </si>
  <si>
    <t>DEBIT PURCHASE KUM&amp;GO 3502R IOWIOWA CITY   IA</t>
  </si>
  <si>
    <t>2025-04-24</t>
  </si>
  <si>
    <t>2025-04-25</t>
  </si>
  <si>
    <t>2025-04-28</t>
  </si>
  <si>
    <t>DEBIT PURCHASE -VISA AMAZON MARK* GJ1AMAZON.COM/MWA</t>
  </si>
  <si>
    <t>DEBIT PURCHASE HY-VEE IOWA CITYIOWA CITY   IA</t>
  </si>
  <si>
    <t>2025-04-29</t>
  </si>
  <si>
    <t>DEBIT PURCHASE -VISA EVERGREEN SMOKE IOWA CITY   IA</t>
  </si>
  <si>
    <t>Personal – Non-Deductible</t>
  </si>
  <si>
    <t>2025-04-30</t>
  </si>
  <si>
    <t>2025-05-05</t>
  </si>
  <si>
    <t>2025-05-06</t>
  </si>
  <si>
    <t>2025-05-13</t>
  </si>
  <si>
    <t>DEBIT PURCHASE -VISA PROGRESSIVE *INS800-776-4737OH</t>
  </si>
  <si>
    <t>Fraudulent Charge – Disputed with US Bank &amp; Police Report Filed – Fully Reversed</t>
  </si>
  <si>
    <t>2025-05-14</t>
  </si>
  <si>
    <t>2025-05-15</t>
  </si>
  <si>
    <t>CUSTOMER WITHDRAWAL</t>
  </si>
  <si>
    <t>PROV CRED PROV FR CRED PROGRESSIVE *INS800-776-4737OHUS1</t>
  </si>
  <si>
    <t>2025-05-19</t>
  </si>
  <si>
    <t>BRANCH ACCT XFR DEP 4066</t>
  </si>
  <si>
    <t>2025-05-20</t>
  </si>
  <si>
    <t>2025-05-21</t>
  </si>
  <si>
    <t>2025-05-23</t>
  </si>
  <si>
    <t>2025-05-30</t>
  </si>
  <si>
    <t>2025-06-02</t>
  </si>
  <si>
    <t>2025-06-06</t>
  </si>
  <si>
    <t>ELECTRONIC DEPOSIT Wix.com</t>
  </si>
  <si>
    <t>Income – Sales Revenue</t>
  </si>
  <si>
    <t>2025-06-09</t>
  </si>
  <si>
    <t>2025-06-10</t>
  </si>
  <si>
    <t>2025-06-25</t>
  </si>
  <si>
    <t>2025-07-01</t>
  </si>
  <si>
    <t>MONTHLY MAINTENANCE FEE REFUND</t>
  </si>
  <si>
    <t>2025-07-10</t>
  </si>
  <si>
    <t>2025-07-14</t>
  </si>
  <si>
    <t>2025-07-24</t>
  </si>
  <si>
    <t>2025-08-01</t>
  </si>
  <si>
    <t>INTERNET BANKING TRANSFER DEPOSIT 5287</t>
  </si>
  <si>
    <t>INTERNET BANKING TRANSFER WITHDRAWAL 5016</t>
  </si>
  <si>
    <t>2025-08-04</t>
  </si>
  <si>
    <t>DEBIT PURCHASE -VISA Etsy.com*US     718-8557955 NY</t>
  </si>
  <si>
    <t>2025-08-13</t>
  </si>
  <si>
    <t>2025-08-14</t>
  </si>
  <si>
    <t>2025-08-25</t>
  </si>
  <si>
    <t>2025-09-02</t>
  </si>
  <si>
    <t>RECURRING DEBIT PURCHASE Etsy.com*US     718-8557955 NY</t>
  </si>
  <si>
    <t>2025-09-03</t>
  </si>
  <si>
    <t>OVERDRAFT PAID FEE</t>
  </si>
  <si>
    <t>2025-09-16</t>
  </si>
  <si>
    <t>2025-09-17</t>
  </si>
  <si>
    <t>2025-09-22</t>
  </si>
  <si>
    <t>2025-09-24</t>
  </si>
  <si>
    <t>2025-09-25</t>
  </si>
  <si>
    <t>2025-10-02</t>
  </si>
  <si>
    <t>2025-10-03</t>
  </si>
  <si>
    <t>2025-10-24</t>
  </si>
  <si>
    <t>2025-11-03</t>
  </si>
  <si>
    <t>TELEPHONE TRANSFER 5287</t>
  </si>
  <si>
    <t>ASSISTED TELEPHONE TRANSFER 5016</t>
  </si>
  <si>
    <t>2025-11-07</t>
  </si>
  <si>
    <t>2025-11-10</t>
  </si>
  <si>
    <t>DEBIT PURCHASE -VISA AMAZON PRIME*6E2Amzn.com/bilWA</t>
  </si>
  <si>
    <t>DEBIT PURCHASE -VISA AMAZON MKTPL*BT6Amzn.com/bilWA</t>
  </si>
  <si>
    <t>DEBIT PURCHASE -VISA Prime Video *BT1888-802-3080WA</t>
  </si>
  <si>
    <t>Meals &amp; Entertainment</t>
  </si>
  <si>
    <t>2025-11-26</t>
  </si>
  <si>
    <t>2025-12-01</t>
  </si>
  <si>
    <t>DEBIT PURCHASE WALGREENS STORE IOWA CITY   IA</t>
  </si>
  <si>
    <t>2025-12-02</t>
  </si>
  <si>
    <t>ELECTRONIC DEPOSIT ETSY INC.</t>
  </si>
  <si>
    <t>Income – Promotional Credit (Etsy no-sales credit)</t>
  </si>
  <si>
    <t>2025-12-03</t>
  </si>
  <si>
    <t>DEBIT PURCHASE MAVERIK #5336   IOWA CITY   IA</t>
  </si>
  <si>
    <t>2025-12-23</t>
  </si>
  <si>
    <t>2025-12-31</t>
  </si>
  <si>
    <t>RECURRING DEBIT PURCHASE Etsy.com*US 718-8557955 NY</t>
  </si>
  <si>
    <t>TOTAL</t>
  </si>
  <si>
    <t>Torus Coffee Company LLC – 2025 Tax Category Summary</t>
  </si>
  <si>
    <t># Transactions</t>
  </si>
  <si>
    <t>Total Amount</t>
  </si>
  <si>
    <t>Notes</t>
  </si>
  <si>
    <t>Offset bank fees</t>
  </si>
  <si>
    <t>Schedule B interest income</t>
  </si>
  <si>
    <t>Verify source for proper classification</t>
  </si>
  <si>
    <t>Fraudulent Charge Reversal – Disputed &amp; Reversed (Police Report Filed)</t>
  </si>
  <si>
    <t>Progressive charge reversal – net $0. Matches fraudulent charge above.</t>
  </si>
  <si>
    <t>Gross receipts – Schedule C Line 1</t>
  </si>
  <si>
    <t>Fully deductible – Schedule C Line 8</t>
  </si>
  <si>
    <t>Fully deductible – Schedule C Line 27a</t>
  </si>
  <si>
    <t>Verify business purpose; keep receipts</t>
  </si>
  <si>
    <t>100% business use – Section 179 deduction or depreciation; Schedule C Line 13</t>
  </si>
  <si>
    <t>Fraudulent Charge – Disputed &amp; Reversed (Police Report Filed)</t>
  </si>
  <si>
    <t>Net $0 impact – charge disputed with US Bank, police report filed, fully reversed. No business insurance held in 2025.</t>
  </si>
  <si>
    <t>Fully deductible – Schedule C Line 17</t>
  </si>
  <si>
    <t>50% deductible – Schedule C Line 24b</t>
  </si>
  <si>
    <t>Fully deductible – Schedule C Line 22</t>
  </si>
  <si>
    <t>Personal funds deposited into business – NOT income, not taxable</t>
  </si>
  <si>
    <t>⚠️ Not deductible</t>
  </si>
  <si>
    <t>Fully deductible as Cost of Goods / R&amp;D – Schedule C Line 38 or Line 22</t>
  </si>
  <si>
    <t>Deductible – Schedule C Line 23</t>
  </si>
  <si>
    <t>Deductible if business use – Schedule C Line 25</t>
  </si>
  <si>
    <t>Internal transfer – not income/expense</t>
  </si>
  <si>
    <t>TOTAL INCOME</t>
  </si>
  <si>
    <t>TOTAL EXPENSES</t>
  </si>
  <si>
    <t>NET</t>
  </si>
  <si>
    <t>Torus Coffee Company LLC – 2025 Monthly Income &amp; Expense Summary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</si>
  <si>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</si>
  <si>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</si>
  <si>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</si>
  <si>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</si>
  <si>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</si>
  <si>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</si>
  <si>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</si>
  <si>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</si>
  <si>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</si>
  <si>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</si>
  <si>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</si>
  <si>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</si>
  <si>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</si>
  <si>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Income – Refund / Credit</t>
  </si>
  <si>
    <t>Insurance</t>
  </si>
  <si>
    <t>Torus Coffee Company LLC – 2025 Asset Detail for Depreciation</t>
  </si>
  <si>
    <t>Asset Name</t>
  </si>
  <si>
    <t>Items Included</t>
  </si>
  <si>
    <t>Date Purchased</t>
  </si>
  <si>
    <t>Date In Service</t>
  </si>
  <si>
    <t>Total Cost</t>
  </si>
  <si>
    <t>Business Use %</t>
  </si>
  <si>
    <t>Asset Category</t>
  </si>
  <si>
    <t>TurboTax Property Type</t>
  </si>
  <si>
    <t>Harvest Right Freeze Dryer</t>
  </si>
  <si>
    <t>Freeze Dryer unit (Mar 28: $2,644.70) + accessories (Apr 28: $16.94)</t>
  </si>
  <si>
    <t>100%</t>
  </si>
  <si>
    <t>Tools, machines, furniture</t>
  </si>
  <si>
    <t>7-year property</t>
  </si>
  <si>
    <t>Decline Section 179 &amp; bonus depreciation – spread over 7 years</t>
  </si>
  <si>
    <t>NIKICAM Digital Camera &amp; Light Box</t>
  </si>
  <si>
    <t>5K 80MP Camera + Glendan 16x16 Photo Studio Light Box (Mar 31 order: $154.85)</t>
  </si>
  <si>
    <t>5-year property</t>
  </si>
  <si>
    <t>Decline Section 179 &amp; bonus depreciation – spread over 5 years</t>
  </si>
  <si>
    <t>GRIDMANN Stainless Steel Table</t>
  </si>
  <si>
    <t>Stainless steel commercial kitchen prep table (Apr 17 order: $236.36)</t>
  </si>
  <si>
    <t>MUNBYN Bluetooth Label Printer</t>
  </si>
  <si>
    <t>MUNBYN 130B Wireless 4x6 Thermal Label Printer (part of Apr 28 order: ~$85.99 incl. tax)</t>
  </si>
  <si>
    <t>TOTAL ASSET COST</t>
  </si>
  <si>
    <t>⚠️  IMPORTANT: Fill in 'Date Placed In Service' for each asset — this is the date you first actually used it for business, not just the purchase date.</t>
  </si>
  <si>
    <t>Torus Coffee Company LLC – 2025 Supplies &amp; Office Expense Detail</t>
  </si>
  <si>
    <t>Vendor / Source</t>
  </si>
  <si>
    <t>Item(s) Purchased</t>
  </si>
  <si>
    <t>TurboTax Category</t>
  </si>
  <si>
    <t>Paid From</t>
  </si>
  <si>
    <t>── Product Testing &amp; Packaging Supplies ──</t>
  </si>
  <si>
    <t>Casey's #3858</t>
  </si>
  <si>
    <t>Candy &amp; food items for freeze-dry product testing</t>
  </si>
  <si>
    <t>Supplies</t>
  </si>
  <si>
    <t>Business Checking (5287)</t>
  </si>
  <si>
    <t>Kum&amp;Go</t>
  </si>
  <si>
    <t>Hy-Vee Iowa City</t>
  </si>
  <si>
    <t>Maverik #5336</t>
  </si>
  <si>
    <t>── Office Expenses ──</t>
  </si>
  <si>
    <t>Amazon (Order #114-4338309)</t>
  </si>
  <si>
    <t>Apple Peeler Corer + Fine Mesh Strainers – product processing tools</t>
  </si>
  <si>
    <t>Amazon (Order #113-9576389)</t>
  </si>
  <si>
    <t>MUNBYN label holders, labels, stickers, holographic labels (packaging supplies; printer is separate asset)</t>
  </si>
  <si>
    <t>Remainder of $208.60 order after $85.99 printer</t>
  </si>
  <si>
    <t>Amazon (Order #114-1968422)</t>
  </si>
  <si>
    <t>2025-05-07</t>
  </si>
  <si>
    <t>Amazon (Order #113-8384015)</t>
  </si>
  <si>
    <t>400cc Oxygen Absorbers + Mylar 300-pack bags – product packaging</t>
  </si>
  <si>
    <t>Personal card – still deductible</t>
  </si>
  <si>
    <t>⚠️ Paid on personal card; keep order confirmation as documentation</t>
  </si>
  <si>
    <t>2025-05-09</t>
  </si>
  <si>
    <t>Amazon (Order #114-6468188)</t>
  </si>
  <si>
    <t>Mylar holographic bags 100pc purple – product packaging</t>
  </si>
  <si>
    <t>Amazon (Order #114-6105855)</t>
  </si>
  <si>
    <t>Oxygen absorbers 100ct + MUNBYN 4x6 labels + Mylar black bags – packaging</t>
  </si>
  <si>
    <t>Hexagon pin boards, pink file folders, dry erase markers, magnetic whiteboard/corkboard, large whiteboard, Pentel pens</t>
  </si>
  <si>
    <t>Office Expenses</t>
  </si>
  <si>
    <t>Home office supplies</t>
  </si>
  <si>
    <t>SUBTOTAL – Supplies</t>
  </si>
  <si>
    <t>TOTAL SUPPLIES + OFFICE EXPENSES</t>
  </si>
  <si>
    <t>⚠️  Yellow rows = paid on personal card. Still fully deductible as business expenses — keep Amazon order confirmations as documentation.</t>
  </si>
  <si>
    <t>Torus Coffee Company LLC – 2025 Cash Receipt Detail</t>
  </si>
  <si>
    <t>Store</t>
  </si>
  <si>
    <t>Item Description</t>
  </si>
  <si>
    <t>Business
Deductible?</t>
  </si>
  <si>
    <t>Business
Amount</t>
  </si>
  <si>
    <t>Personal
Amount</t>
  </si>
  <si>
    <t>05/21/25</t>
  </si>
  <si>
    <t>Walmart</t>
  </si>
  <si>
    <t>Skittles x4 (candy testing)</t>
  </si>
  <si>
    <t>✅ Yes</t>
  </si>
  <si>
    <t>Jelly Belly Bag (candy testing)</t>
  </si>
  <si>
    <t>Sales tax on business items</t>
  </si>
  <si>
    <t>05/19/25</t>
  </si>
  <si>
    <t>Strawberries x5 (freeze-dry testing)</t>
  </si>
  <si>
    <t>Skittles SR SHR x2 (candy testing)</t>
  </si>
  <si>
    <t>Skittles Original (candy testing)</t>
  </si>
  <si>
    <t>05/15/25</t>
  </si>
  <si>
    <t>Gala Apples 6.14 lb (freeze-dry testing)</t>
  </si>
  <si>
    <t>Paid with non-business cash – still deductible</t>
  </si>
  <si>
    <t>Gala Apples 6.03 lb (freeze-dry testing)</t>
  </si>
  <si>
    <t>05/06/25</t>
  </si>
  <si>
    <t>Hy-Vee</t>
  </si>
  <si>
    <t>Chiquita Bananas x8 (freeze-dry testing)</t>
  </si>
  <si>
    <t>Small Hass Avocado x2 (freeze-dry testing)</t>
  </si>
  <si>
    <t>Blue Moon Beer 6pk</t>
  </si>
  <si>
    <t>❌ No</t>
  </si>
  <si>
    <t>NFS Bil Dep (bottle deposit)</t>
  </si>
  <si>
    <t>06/04/25</t>
  </si>
  <si>
    <t>Apple Cider Vinegar (freeze-dry testing)</t>
  </si>
  <si>
    <t>Strawberries x2 (freeze-dry testing)</t>
  </si>
  <si>
    <t>Syrup (freeze-dry testing)</t>
  </si>
  <si>
    <t>Bulk Corn x6 (freeze-dry testing)</t>
  </si>
  <si>
    <t>Red Onion (freeze-dry testing)</t>
  </si>
  <si>
    <t>Bananas x3 (freeze-dry testing)</t>
  </si>
  <si>
    <t>Friskies cat food</t>
  </si>
  <si>
    <t>VL Beef 3oz / VL Chicken 3oz (cat treats)</t>
  </si>
  <si>
    <t>Busch Light 12pk</t>
  </si>
  <si>
    <t>White Claw x2</t>
  </si>
  <si>
    <t>06/11/25</t>
  </si>
  <si>
    <t>Ground Beef 80/20 x2 (freeze-dry testing)</t>
  </si>
  <si>
    <t>Avocado (freeze-dry testing)</t>
  </si>
  <si>
    <t>Bulk Lemons x6 (freeze-dry testing)</t>
  </si>
  <si>
    <t>Strawberries x3 (freeze-dry testing)</t>
  </si>
  <si>
    <t>Equate 14ct</t>
  </si>
  <si>
    <t>Possible freeze-dry supply</t>
  </si>
  <si>
    <t>Busch Light</t>
  </si>
  <si>
    <t>White Claw</t>
  </si>
  <si>
    <t>TOTALS</t>
  </si>
  <si>
    <t>SUMMARY</t>
  </si>
  <si>
    <t>Total deductible business purchases from cash receipts</t>
  </si>
  <si>
    <t>Total personal (non-deductible) items</t>
  </si>
  <si>
    <t>Add to TurboTax Supplies field</t>
  </si>
  <si>
    <t>⚠️  NOTE: Some receipts were paid with non-business (personal) cash — these are still fully deductible as long as the purchases were for business purposes. Keep all receipts as documentation.</t>
  </si>
  <si>
    <t>Torus Coffee Company LLC – 2025 Partner Distributions Detail</t>
  </si>
  <si>
    <t>Personal items paid using business funds — treated as partner distributions per IRS rules for partnerships</t>
  </si>
  <si>
    <t>Sara Jane (51%)</t>
  </si>
  <si>
    <t>Bryon (49%)</t>
  </si>
  <si>
    <t>04/29/25</t>
  </si>
  <si>
    <t>Evergreen Smoke Shop</t>
  </si>
  <si>
    <t>Personal purchase – tobacco/smoke products</t>
  </si>
  <si>
    <t>Bottle deposit</t>
  </si>
  <si>
    <t>VL Beef / VL Chicken cat treats</t>
  </si>
  <si>
    <t>12/01/25</t>
  </si>
  <si>
    <t>Walgreens</t>
  </si>
  <si>
    <t>Personal purchase</t>
  </si>
  <si>
    <t>TOTAL DISTRIBUTIONS</t>
  </si>
  <si>
    <t>⚠️  Per IRS rules: personal expenses paid from partnership funds are treated as partner distributions, not business deductions. These amounts appear on Schedule K-1 Line 19 (Distributions) for each partner.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</si>
</sst>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;[Red]($#,##0.00)"/>
    <numFmt numFmtId="165" formatCode="M/d/yyyy"/>
    <numFmt numFmtId="166" formatCode="$#,##0.00"/>
    <numFmt numFmtId="167" formatCode="$#,##0.00;[Red]($#,##0.00);&quot;-&quot;"/>
  </numFmts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9.0"/>
      <color rgb="FF000000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rgb="FFC00000"/>
      <name val="Arial"/>
    </font>
    <font>
      <b/>
      <sz val="10.0"/>
      <color rgb="FF7F6000"/>
      <name val="Arial"/>
    </font>
    <font>
      <sz val="10.0"/>
      <color rgb="FFC00000"/>
      <name val="Arial"/>
    </font>
    <font>
      <i/>
      <sz val="10.0"/>
      <color rgb="FF7F6000"/>
      <name val="Arial"/>
    </font>
    <font>
      <i/>
      <sz val="9.0"/>
      <color rgb="FF7F6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left"/>
    </xf>
    <xf borderId="4" fillId="4" fontId="4" numFmtId="164" xfId="0" applyAlignment="1" applyBorder="1" applyFont="1" applyNumberFormat="1">
      <alignment horizontal="right"/>
    </xf>
    <xf borderId="4" fillId="5" fontId="4" numFmtId="0" xfId="0" applyAlignment="1" applyBorder="1" applyFill="1" applyFont="1">
      <alignment horizontal="left"/>
    </xf>
    <xf borderId="4" fillId="5" fontId="4" numFmtId="164" xfId="0" applyAlignment="1" applyBorder="1" applyFont="1" applyNumberFormat="1">
      <alignment horizontal="right"/>
    </xf>
    <xf borderId="4" fillId="5" fontId="5" numFmtId="0" xfId="0" applyAlignment="1" applyBorder="1" applyFont="1">
      <alignment horizontal="left"/>
    </xf>
    <xf borderId="4" fillId="5" fontId="5" numFmtId="164" xfId="0" applyAlignment="1" applyBorder="1" applyFont="1" applyNumberFormat="1">
      <alignment horizontal="right"/>
    </xf>
    <xf borderId="5" fillId="6" fontId="6" numFmtId="0" xfId="0" applyBorder="1" applyFill="1" applyFont="1"/>
    <xf borderId="4" fillId="6" fontId="6" numFmtId="164" xfId="0" applyBorder="1" applyFont="1" applyNumberFormat="1"/>
    <xf borderId="4" fillId="7" fontId="7" numFmtId="0" xfId="0" applyAlignment="1" applyBorder="1" applyFill="1" applyFont="1">
      <alignment shrinkToFit="0" wrapText="1"/>
    </xf>
    <xf borderId="4" fillId="7" fontId="4" numFmtId="0" xfId="0" applyAlignment="1" applyBorder="1" applyFont="1">
      <alignment horizontal="center"/>
    </xf>
    <xf borderId="4" fillId="7" fontId="7" numFmtId="164" xfId="0" applyAlignment="1" applyBorder="1" applyFont="1" applyNumberFormat="1">
      <alignment horizontal="right"/>
    </xf>
    <xf borderId="4" fillId="7" fontId="8" numFmtId="0" xfId="0" applyAlignment="1" applyBorder="1" applyFont="1">
      <alignment shrinkToFit="0" wrapText="1"/>
    </xf>
    <xf borderId="4" fillId="8" fontId="4" numFmtId="0" xfId="0" applyAlignment="1" applyBorder="1" applyFill="1" applyFont="1">
      <alignment shrinkToFit="0" wrapText="1"/>
    </xf>
    <xf borderId="4" fillId="8" fontId="4" numFmtId="0" xfId="0" applyAlignment="1" applyBorder="1" applyFont="1">
      <alignment horizontal="center"/>
    </xf>
    <xf borderId="4" fillId="8" fontId="7" numFmtId="164" xfId="0" applyAlignment="1" applyBorder="1" applyFont="1" applyNumberFormat="1">
      <alignment horizontal="right"/>
    </xf>
    <xf borderId="4" fillId="8" fontId="8" numFmtId="0" xfId="0" applyAlignment="1" applyBorder="1" applyFont="1">
      <alignment shrinkToFit="0" wrapText="1"/>
    </xf>
    <xf borderId="4" fillId="6" fontId="4" numFmtId="0" xfId="0" applyAlignment="1" applyBorder="1" applyFont="1">
      <alignment shrinkToFit="0" wrapText="1"/>
    </xf>
    <xf borderId="4" fillId="6" fontId="4" numFmtId="0" xfId="0" applyAlignment="1" applyBorder="1" applyFont="1">
      <alignment horizontal="center"/>
    </xf>
    <xf borderId="4" fillId="6" fontId="7" numFmtId="164" xfId="0" applyAlignment="1" applyBorder="1" applyFont="1" applyNumberFormat="1">
      <alignment horizontal="right"/>
    </xf>
    <xf borderId="4" fillId="6" fontId="8" numFmtId="0" xfId="0" applyAlignment="1" applyBorder="1" applyFont="1">
      <alignment shrinkToFit="0" wrapText="1"/>
    </xf>
    <xf borderId="5" fillId="2" fontId="9" numFmtId="0" xfId="0" applyBorder="1" applyFont="1"/>
    <xf borderId="5" fillId="2" fontId="9" numFmtId="164" xfId="0" applyAlignment="1" applyBorder="1" applyFont="1" applyNumberFormat="1">
      <alignment horizontal="right"/>
    </xf>
    <xf borderId="4" fillId="3" fontId="3" numFmtId="0" xfId="0" applyBorder="1" applyFont="1"/>
    <xf borderId="4" fillId="7" fontId="4" numFmtId="0" xfId="0" applyAlignment="1" applyBorder="1" applyFont="1">
      <alignment shrinkToFit="0" wrapText="1"/>
    </xf>
    <xf borderId="4" fillId="7" fontId="10" numFmtId="164" xfId="0" applyAlignment="1" applyBorder="1" applyFont="1" applyNumberFormat="1">
      <alignment horizontal="right"/>
    </xf>
    <xf borderId="4" fillId="8" fontId="10" numFmtId="164" xfId="0" applyAlignment="1" applyBorder="1" applyFont="1" applyNumberFormat="1">
      <alignment horizontal="right"/>
    </xf>
    <xf borderId="4" fillId="3" fontId="3" numFmtId="0" xfId="0" applyAlignment="1" applyBorder="1" applyFont="1">
      <alignment horizontal="center" shrinkToFit="0" wrapText="1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left" shrinkToFit="0" vertical="center" wrapText="1"/>
    </xf>
    <xf borderId="4" fillId="4" fontId="5" numFmtId="165" xfId="0" applyAlignment="1" applyBorder="1" applyFont="1" applyNumberFormat="1">
      <alignment horizontal="center" vertical="center"/>
    </xf>
    <xf borderId="4" fillId="4" fontId="5" numFmtId="166" xfId="0" applyAlignment="1" applyBorder="1" applyFont="1" applyNumberFormat="1">
      <alignment horizontal="right" vertical="center"/>
    </xf>
    <xf borderId="4" fillId="4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left" shrinkToFit="0" vertical="center" wrapText="1"/>
    </xf>
    <xf borderId="4" fillId="5" fontId="5" numFmtId="166" xfId="0" applyAlignment="1" applyBorder="1" applyFont="1" applyNumberFormat="1">
      <alignment horizontal="right" vertical="center"/>
    </xf>
    <xf borderId="4" fillId="5" fontId="5" numFmtId="0" xfId="0" applyAlignment="1" applyBorder="1" applyFont="1">
      <alignment horizontal="center" vertical="center"/>
    </xf>
    <xf borderId="5" fillId="6" fontId="6" numFmtId="0" xfId="0" applyAlignment="1" applyBorder="1" applyFont="1">
      <alignment horizontal="right"/>
    </xf>
    <xf borderId="4" fillId="6" fontId="6" numFmtId="166" xfId="0" applyAlignment="1" applyBorder="1" applyFont="1" applyNumberFormat="1">
      <alignment horizontal="right"/>
    </xf>
    <xf borderId="1" fillId="9" fontId="11" numFmtId="0" xfId="0" applyAlignment="1" applyBorder="1" applyFill="1" applyFont="1">
      <alignment shrinkToFit="0" wrapText="1"/>
    </xf>
    <xf borderId="1" fillId="3" fontId="9" numFmtId="0" xfId="0" applyAlignment="1" applyBorder="1" applyFont="1">
      <alignment horizontal="center"/>
    </xf>
    <xf borderId="4" fillId="9" fontId="5" numFmtId="0" xfId="0" applyAlignment="1" applyBorder="1" applyFont="1">
      <alignment horizontal="center" vertical="center"/>
    </xf>
    <xf borderId="4" fillId="9" fontId="5" numFmtId="0" xfId="0" applyAlignment="1" applyBorder="1" applyFont="1">
      <alignment horizontal="left" vertical="center"/>
    </xf>
    <xf borderId="4" fillId="9" fontId="5" numFmtId="0" xfId="0" applyAlignment="1" applyBorder="1" applyFont="1">
      <alignment horizontal="left" shrinkToFit="0" vertical="center" wrapText="1"/>
    </xf>
    <xf borderId="4" fillId="9" fontId="5" numFmtId="166" xfId="0" applyAlignment="1" applyBorder="1" applyFont="1" applyNumberFormat="1">
      <alignment horizontal="right" vertical="center"/>
    </xf>
    <xf borderId="6" fillId="6" fontId="6" numFmtId="0" xfId="0" applyAlignment="1" applyBorder="1" applyFont="1">
      <alignment horizontal="right"/>
    </xf>
    <xf borderId="7" fillId="0" fontId="2" numFmtId="0" xfId="0" applyBorder="1" applyFont="1"/>
    <xf borderId="8" fillId="0" fontId="2" numFmtId="0" xfId="0" applyBorder="1" applyFont="1"/>
    <xf borderId="6" fillId="2" fontId="3" numFmtId="0" xfId="0" applyAlignment="1" applyBorder="1" applyFont="1">
      <alignment horizontal="right"/>
    </xf>
    <xf borderId="4" fillId="2" fontId="3" numFmtId="166" xfId="0" applyAlignment="1" applyBorder="1" applyFont="1" applyNumberFormat="1">
      <alignment horizontal="right"/>
    </xf>
    <xf borderId="1" fillId="9" fontId="12" numFmtId="0" xfId="0" applyAlignment="1" applyBorder="1" applyFont="1">
      <alignment shrinkToFit="0" wrapText="1"/>
    </xf>
    <xf borderId="4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left" shrinkToFit="0" vertical="center" wrapText="1"/>
    </xf>
    <xf borderId="4" fillId="4" fontId="4" numFmtId="166" xfId="0" applyAlignment="1" applyBorder="1" applyFont="1" applyNumberFormat="1">
      <alignment horizontal="right" vertical="center"/>
    </xf>
    <xf borderId="4" fillId="5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left" vertical="center"/>
    </xf>
    <xf borderId="4" fillId="5" fontId="4" numFmtId="0" xfId="0" applyAlignment="1" applyBorder="1" applyFont="1">
      <alignment horizontal="left" shrinkToFit="0" vertical="center" wrapText="1"/>
    </xf>
    <xf borderId="4" fillId="5" fontId="4" numFmtId="166" xfId="0" applyAlignment="1" applyBorder="1" applyFont="1" applyNumberFormat="1">
      <alignment horizontal="right" vertical="center"/>
    </xf>
    <xf borderId="4" fillId="8" fontId="4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left" vertical="center"/>
    </xf>
    <xf borderId="4" fillId="8" fontId="4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center" vertical="center"/>
    </xf>
    <xf borderId="4" fillId="8" fontId="4" numFmtId="166" xfId="0" applyAlignment="1" applyBorder="1" applyFont="1" applyNumberFormat="1">
      <alignment horizontal="right" vertical="center"/>
    </xf>
    <xf borderId="6" fillId="3" fontId="3" numFmtId="0" xfId="0" applyAlignment="1" applyBorder="1" applyFont="1">
      <alignment horizontal="center"/>
    </xf>
    <xf borderId="6" fillId="7" fontId="7" numFmtId="0" xfId="0" applyBorder="1" applyFont="1"/>
    <xf borderId="4" fillId="7" fontId="7" numFmtId="166" xfId="0" applyAlignment="1" applyBorder="1" applyFont="1" applyNumberFormat="1">
      <alignment horizontal="right"/>
    </xf>
    <xf borderId="6" fillId="8" fontId="7" numFmtId="0" xfId="0" applyBorder="1" applyFont="1"/>
    <xf borderId="4" fillId="8" fontId="7" numFmtId="166" xfId="0" applyAlignment="1" applyBorder="1" applyFont="1" applyNumberFormat="1">
      <alignment horizontal="right"/>
    </xf>
    <xf borderId="6" fillId="6" fontId="7" numFmtId="0" xfId="0" applyBorder="1" applyFont="1"/>
    <xf borderId="4" fillId="6" fontId="7" numFmtId="166" xfId="0" applyAlignment="1" applyBorder="1" applyFont="1" applyNumberFormat="1">
      <alignment horizontal="right"/>
    </xf>
    <xf borderId="1" fillId="9" fontId="14" numFmtId="0" xfId="0" applyAlignment="1" applyBorder="1" applyFont="1">
      <alignment shrinkToFit="0" wrapText="1"/>
    </xf>
    <xf borderId="4" fillId="4" fontId="4" numFmtId="167" xfId="0" applyAlignment="1" applyBorder="1" applyFont="1" applyNumberFormat="1">
      <alignment horizontal="right"/>
    </xf>
    <xf borderId="4" fillId="6" fontId="4" numFmtId="0" xfId="0" applyAlignment="1" applyBorder="1" applyFont="1">
      <alignment horizontal="left"/>
    </xf>
    <xf borderId="4" fillId="6" fontId="4" numFmtId="167" xfId="0" applyAlignment="1" applyBorder="1" applyFont="1" applyNumberFormat="1">
      <alignment horizontal="right"/>
    </xf>
    <xf borderId="4" fillId="2" fontId="9" numFmtId="0" xfId="0" applyBorder="1" applyFont="1"/>
    <xf borderId="4" fillId="2" fontId="10" numFmtId="0" xfId="0" applyBorder="1" applyFont="1"/>
    <xf borderId="4" fillId="2" fontId="9" numFmtId="167" xfId="0" applyAlignment="1" applyBorder="1" applyFont="1" applyNumberFormat="1">
      <alignment horizontal="right"/>
    </xf>
    <xf borderId="1" fillId="9" fontId="1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0.0"/>
    <col customWidth="1" min="4" max="4" width="45.0"/>
    <col customWidth="1" min="5" max="5" width="36.0"/>
    <col customWidth="1" min="6" max="6" width="14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>
        <v>500.0</v>
      </c>
    </row>
    <row r="4">
      <c r="A4" s="7" t="s">
        <v>7</v>
      </c>
      <c r="B4" s="7" t="s">
        <v>12</v>
      </c>
      <c r="C4" s="7" t="s">
        <v>9</v>
      </c>
      <c r="D4" s="7" t="s">
        <v>10</v>
      </c>
      <c r="E4" s="7" t="s">
        <v>11</v>
      </c>
      <c r="F4" s="8">
        <v>125.0</v>
      </c>
    </row>
    <row r="5">
      <c r="A5" s="5" t="s">
        <v>13</v>
      </c>
      <c r="B5" s="5" t="s">
        <v>12</v>
      </c>
      <c r="C5" s="5" t="s">
        <v>9</v>
      </c>
      <c r="D5" s="5" t="s">
        <v>14</v>
      </c>
      <c r="E5" s="5" t="s">
        <v>11</v>
      </c>
      <c r="F5" s="6">
        <v>180.0</v>
      </c>
    </row>
    <row r="6">
      <c r="A6" s="7" t="s">
        <v>15</v>
      </c>
      <c r="B6" s="7" t="s">
        <v>12</v>
      </c>
      <c r="C6" s="7" t="s">
        <v>16</v>
      </c>
      <c r="D6" s="7" t="s">
        <v>17</v>
      </c>
      <c r="E6" s="7" t="s">
        <v>18</v>
      </c>
      <c r="F6" s="8">
        <v>-149.0</v>
      </c>
    </row>
    <row r="7">
      <c r="A7" s="5" t="s">
        <v>19</v>
      </c>
      <c r="B7" s="5" t="s">
        <v>8</v>
      </c>
      <c r="C7" s="5" t="s">
        <v>9</v>
      </c>
      <c r="D7" s="5" t="s">
        <v>20</v>
      </c>
      <c r="E7" s="5" t="s">
        <v>21</v>
      </c>
      <c r="F7" s="6">
        <v>2340.0</v>
      </c>
    </row>
    <row r="8">
      <c r="A8" s="7" t="s">
        <v>19</v>
      </c>
      <c r="B8" s="7" t="s">
        <v>8</v>
      </c>
      <c r="C8" s="7" t="s">
        <v>16</v>
      </c>
      <c r="D8" s="7" t="s">
        <v>22</v>
      </c>
      <c r="E8" s="7" t="s">
        <v>23</v>
      </c>
      <c r="F8" s="8">
        <v>-2300.0</v>
      </c>
    </row>
    <row r="9">
      <c r="A9" s="5" t="s">
        <v>19</v>
      </c>
      <c r="B9" s="5" t="s">
        <v>8</v>
      </c>
      <c r="C9" s="5" t="s">
        <v>9</v>
      </c>
      <c r="D9" s="5" t="s">
        <v>24</v>
      </c>
      <c r="E9" s="5" t="s">
        <v>25</v>
      </c>
      <c r="F9" s="6">
        <v>0.01</v>
      </c>
    </row>
    <row r="10">
      <c r="A10" s="7" t="s">
        <v>19</v>
      </c>
      <c r="B10" s="7" t="s">
        <v>8</v>
      </c>
      <c r="C10" s="7" t="s">
        <v>16</v>
      </c>
      <c r="D10" s="7" t="s">
        <v>26</v>
      </c>
      <c r="E10" s="7" t="s">
        <v>27</v>
      </c>
      <c r="F10" s="8">
        <v>-5.0</v>
      </c>
    </row>
    <row r="11">
      <c r="A11" s="5" t="s">
        <v>19</v>
      </c>
      <c r="B11" s="5" t="s">
        <v>8</v>
      </c>
      <c r="C11" s="5" t="s">
        <v>9</v>
      </c>
      <c r="D11" s="5" t="s">
        <v>28</v>
      </c>
      <c r="E11" s="5" t="s">
        <v>29</v>
      </c>
      <c r="F11" s="6">
        <v>5.0</v>
      </c>
    </row>
    <row r="12">
      <c r="A12" s="7" t="s">
        <v>19</v>
      </c>
      <c r="B12" s="7" t="s">
        <v>12</v>
      </c>
      <c r="C12" s="7" t="s">
        <v>9</v>
      </c>
      <c r="D12" s="7" t="s">
        <v>30</v>
      </c>
      <c r="E12" s="7" t="s">
        <v>11</v>
      </c>
      <c r="F12" s="8">
        <v>2300.0</v>
      </c>
    </row>
    <row r="13">
      <c r="A13" s="5" t="s">
        <v>31</v>
      </c>
      <c r="B13" s="5" t="s">
        <v>12</v>
      </c>
      <c r="C13" s="5" t="s">
        <v>16</v>
      </c>
      <c r="D13" s="5" t="s">
        <v>32</v>
      </c>
      <c r="E13" s="5" t="s">
        <v>33</v>
      </c>
      <c r="F13" s="6">
        <v>-228.96</v>
      </c>
    </row>
    <row r="14">
      <c r="A14" s="7" t="s">
        <v>31</v>
      </c>
      <c r="B14" s="7" t="s">
        <v>12</v>
      </c>
      <c r="C14" s="7" t="s">
        <v>16</v>
      </c>
      <c r="D14" s="7" t="s">
        <v>32</v>
      </c>
      <c r="E14" s="7" t="s">
        <v>33</v>
      </c>
      <c r="F14" s="8">
        <v>-92.55</v>
      </c>
    </row>
    <row r="15">
      <c r="A15" s="5" t="s">
        <v>31</v>
      </c>
      <c r="B15" s="5" t="s">
        <v>12</v>
      </c>
      <c r="C15" s="5" t="s">
        <v>16</v>
      </c>
      <c r="D15" s="5" t="s">
        <v>32</v>
      </c>
      <c r="E15" s="5" t="s">
        <v>33</v>
      </c>
      <c r="F15" s="6">
        <v>-89.04</v>
      </c>
    </row>
    <row r="16">
      <c r="A16" s="7" t="s">
        <v>31</v>
      </c>
      <c r="B16" s="7" t="s">
        <v>12</v>
      </c>
      <c r="C16" s="7" t="s">
        <v>16</v>
      </c>
      <c r="D16" s="7" t="s">
        <v>34</v>
      </c>
      <c r="E16" s="7" t="s">
        <v>18</v>
      </c>
      <c r="F16" s="8">
        <v>-99.0</v>
      </c>
    </row>
    <row r="17">
      <c r="A17" s="5" t="s">
        <v>35</v>
      </c>
      <c r="B17" s="5" t="s">
        <v>8</v>
      </c>
      <c r="C17" s="5" t="s">
        <v>9</v>
      </c>
      <c r="D17" s="5" t="s">
        <v>20</v>
      </c>
      <c r="E17" s="5" t="s">
        <v>21</v>
      </c>
      <c r="F17" s="6">
        <v>550.0</v>
      </c>
    </row>
    <row r="18">
      <c r="A18" s="7" t="s">
        <v>35</v>
      </c>
      <c r="B18" s="7" t="s">
        <v>8</v>
      </c>
      <c r="C18" s="7" t="s">
        <v>9</v>
      </c>
      <c r="D18" s="7" t="s">
        <v>20</v>
      </c>
      <c r="E18" s="7" t="s">
        <v>21</v>
      </c>
      <c r="F18" s="8">
        <v>435.0</v>
      </c>
    </row>
    <row r="19">
      <c r="A19" s="5" t="s">
        <v>35</v>
      </c>
      <c r="B19" s="5" t="s">
        <v>8</v>
      </c>
      <c r="C19" s="5" t="s">
        <v>16</v>
      </c>
      <c r="D19" s="5" t="s">
        <v>22</v>
      </c>
      <c r="E19" s="5" t="s">
        <v>23</v>
      </c>
      <c r="F19" s="6">
        <v>-1020.0</v>
      </c>
    </row>
    <row r="20">
      <c r="A20" s="7" t="s">
        <v>35</v>
      </c>
      <c r="B20" s="7" t="s">
        <v>12</v>
      </c>
      <c r="C20" s="7" t="s">
        <v>9</v>
      </c>
      <c r="D20" s="7" t="s">
        <v>30</v>
      </c>
      <c r="E20" s="7" t="s">
        <v>11</v>
      </c>
      <c r="F20" s="8">
        <v>1020.0</v>
      </c>
    </row>
    <row r="21" ht="15.75" customHeight="1">
      <c r="A21" s="5" t="s">
        <v>35</v>
      </c>
      <c r="B21" s="5" t="s">
        <v>12</v>
      </c>
      <c r="C21" s="5" t="s">
        <v>16</v>
      </c>
      <c r="D21" s="5" t="s">
        <v>36</v>
      </c>
      <c r="E21" s="5" t="s">
        <v>37</v>
      </c>
      <c r="F21" s="6">
        <v>-58.5</v>
      </c>
    </row>
    <row r="22" ht="15.75" customHeight="1">
      <c r="A22" s="7" t="s">
        <v>35</v>
      </c>
      <c r="B22" s="7" t="s">
        <v>12</v>
      </c>
      <c r="C22" s="7" t="s">
        <v>16</v>
      </c>
      <c r="D22" s="7" t="s">
        <v>38</v>
      </c>
      <c r="E22" s="7" t="s">
        <v>27</v>
      </c>
      <c r="F22" s="8">
        <v>-1.75</v>
      </c>
    </row>
    <row r="23" ht="15.75" customHeight="1">
      <c r="A23" s="5" t="s">
        <v>35</v>
      </c>
      <c r="B23" s="5" t="s">
        <v>12</v>
      </c>
      <c r="C23" s="5" t="s">
        <v>16</v>
      </c>
      <c r="D23" s="5" t="s">
        <v>39</v>
      </c>
      <c r="E23" s="5" t="s">
        <v>40</v>
      </c>
      <c r="F23" s="6">
        <v>-0.11</v>
      </c>
    </row>
    <row r="24" ht="15.75" customHeight="1">
      <c r="A24" s="7" t="s">
        <v>41</v>
      </c>
      <c r="B24" s="7" t="s">
        <v>8</v>
      </c>
      <c r="C24" s="7" t="s">
        <v>9</v>
      </c>
      <c r="D24" s="7" t="s">
        <v>20</v>
      </c>
      <c r="E24" s="7" t="s">
        <v>21</v>
      </c>
      <c r="F24" s="8">
        <v>135.0</v>
      </c>
    </row>
    <row r="25" ht="15.75" customHeight="1">
      <c r="A25" s="5" t="s">
        <v>41</v>
      </c>
      <c r="B25" s="5" t="s">
        <v>8</v>
      </c>
      <c r="C25" s="5" t="s">
        <v>9</v>
      </c>
      <c r="D25" s="5" t="s">
        <v>20</v>
      </c>
      <c r="E25" s="5" t="s">
        <v>21</v>
      </c>
      <c r="F25" s="6">
        <v>120.0</v>
      </c>
    </row>
    <row r="26" ht="15.75" customHeight="1">
      <c r="A26" s="7" t="s">
        <v>41</v>
      </c>
      <c r="B26" s="7" t="s">
        <v>8</v>
      </c>
      <c r="C26" s="7" t="s">
        <v>16</v>
      </c>
      <c r="D26" s="7" t="s">
        <v>22</v>
      </c>
      <c r="E26" s="7" t="s">
        <v>23</v>
      </c>
      <c r="F26" s="8">
        <v>-75.0</v>
      </c>
    </row>
    <row r="27" ht="15.75" customHeight="1">
      <c r="A27" s="5" t="s">
        <v>41</v>
      </c>
      <c r="B27" s="5" t="s">
        <v>8</v>
      </c>
      <c r="C27" s="5" t="s">
        <v>16</v>
      </c>
      <c r="D27" s="5" t="s">
        <v>22</v>
      </c>
      <c r="E27" s="5" t="s">
        <v>23</v>
      </c>
      <c r="F27" s="6">
        <v>-140.0</v>
      </c>
    </row>
    <row r="28" ht="15.75" customHeight="1">
      <c r="A28" s="7" t="s">
        <v>41</v>
      </c>
      <c r="B28" s="7" t="s">
        <v>8</v>
      </c>
      <c r="C28" s="7" t="s">
        <v>16</v>
      </c>
      <c r="D28" s="7" t="s">
        <v>22</v>
      </c>
      <c r="E28" s="7" t="s">
        <v>23</v>
      </c>
      <c r="F28" s="8">
        <v>-45.0</v>
      </c>
    </row>
    <row r="29" ht="15.75" customHeight="1">
      <c r="A29" s="5" t="s">
        <v>41</v>
      </c>
      <c r="B29" s="5" t="s">
        <v>12</v>
      </c>
      <c r="C29" s="5" t="s">
        <v>9</v>
      </c>
      <c r="D29" s="5" t="s">
        <v>30</v>
      </c>
      <c r="E29" s="5" t="s">
        <v>11</v>
      </c>
      <c r="F29" s="6">
        <v>75.0</v>
      </c>
    </row>
    <row r="30" ht="15.75" customHeight="1">
      <c r="A30" s="7" t="s">
        <v>41</v>
      </c>
      <c r="B30" s="7" t="s">
        <v>12</v>
      </c>
      <c r="C30" s="7" t="s">
        <v>9</v>
      </c>
      <c r="D30" s="7" t="s">
        <v>30</v>
      </c>
      <c r="E30" s="7" t="s">
        <v>11</v>
      </c>
      <c r="F30" s="8">
        <v>140.0</v>
      </c>
    </row>
    <row r="31" ht="15.75" customHeight="1">
      <c r="A31" s="5" t="s">
        <v>41</v>
      </c>
      <c r="B31" s="5" t="s">
        <v>12</v>
      </c>
      <c r="C31" s="5" t="s">
        <v>9</v>
      </c>
      <c r="D31" s="5" t="s">
        <v>30</v>
      </c>
      <c r="E31" s="5" t="s">
        <v>11</v>
      </c>
      <c r="F31" s="6">
        <v>45.0</v>
      </c>
    </row>
    <row r="32" ht="15.75" customHeight="1">
      <c r="A32" s="7" t="s">
        <v>41</v>
      </c>
      <c r="B32" s="7" t="s">
        <v>12</v>
      </c>
      <c r="C32" s="7" t="s">
        <v>16</v>
      </c>
      <c r="D32" s="7" t="s">
        <v>42</v>
      </c>
      <c r="E32" s="7" t="s">
        <v>43</v>
      </c>
      <c r="F32" s="8">
        <v>-2644.7</v>
      </c>
    </row>
    <row r="33" ht="15.75" customHeight="1">
      <c r="A33" s="5" t="s">
        <v>44</v>
      </c>
      <c r="B33" s="5" t="s">
        <v>12</v>
      </c>
      <c r="C33" s="5" t="s">
        <v>16</v>
      </c>
      <c r="D33" s="5" t="s">
        <v>45</v>
      </c>
      <c r="E33" s="5" t="s">
        <v>46</v>
      </c>
      <c r="F33" s="6">
        <v>-106.95</v>
      </c>
    </row>
    <row r="34" ht="15.75" customHeight="1">
      <c r="A34" s="7" t="s">
        <v>44</v>
      </c>
      <c r="B34" s="7" t="s">
        <v>12</v>
      </c>
      <c r="C34" s="7" t="s">
        <v>16</v>
      </c>
      <c r="D34" s="7" t="s">
        <v>47</v>
      </c>
      <c r="E34" s="7" t="s">
        <v>46</v>
      </c>
      <c r="F34" s="8">
        <v>-154.85</v>
      </c>
    </row>
    <row r="35" ht="15.75" customHeight="1">
      <c r="A35" s="5" t="s">
        <v>44</v>
      </c>
      <c r="B35" s="5" t="s">
        <v>12</v>
      </c>
      <c r="C35" s="5" t="s">
        <v>16</v>
      </c>
      <c r="D35" s="5" t="s">
        <v>48</v>
      </c>
      <c r="E35" s="5" t="s">
        <v>49</v>
      </c>
      <c r="F35" s="6">
        <v>-21.87</v>
      </c>
    </row>
    <row r="36" ht="15.75" customHeight="1">
      <c r="A36" s="7" t="s">
        <v>50</v>
      </c>
      <c r="B36" s="7" t="s">
        <v>8</v>
      </c>
      <c r="C36" s="7" t="s">
        <v>16</v>
      </c>
      <c r="D36" s="7" t="s">
        <v>22</v>
      </c>
      <c r="E36" s="7" t="s">
        <v>23</v>
      </c>
      <c r="F36" s="8">
        <v>-100.0</v>
      </c>
    </row>
    <row r="37" ht="15.75" customHeight="1">
      <c r="A37" s="5" t="s">
        <v>50</v>
      </c>
      <c r="B37" s="5" t="s">
        <v>12</v>
      </c>
      <c r="C37" s="5" t="s">
        <v>9</v>
      </c>
      <c r="D37" s="5" t="s">
        <v>30</v>
      </c>
      <c r="E37" s="5" t="s">
        <v>11</v>
      </c>
      <c r="F37" s="6">
        <v>100.0</v>
      </c>
    </row>
    <row r="38" ht="15.75" customHeight="1">
      <c r="A38" s="7" t="s">
        <v>51</v>
      </c>
      <c r="B38" s="7" t="s">
        <v>12</v>
      </c>
      <c r="C38" s="7" t="s">
        <v>16</v>
      </c>
      <c r="D38" s="7" t="s">
        <v>52</v>
      </c>
      <c r="E38" s="7" t="s">
        <v>46</v>
      </c>
      <c r="F38" s="8">
        <v>-236.36</v>
      </c>
    </row>
    <row r="39" ht="15.75" customHeight="1">
      <c r="A39" s="5" t="s">
        <v>53</v>
      </c>
      <c r="B39" s="5" t="s">
        <v>12</v>
      </c>
      <c r="C39" s="5" t="s">
        <v>16</v>
      </c>
      <c r="D39" s="5" t="s">
        <v>54</v>
      </c>
      <c r="E39" s="5" t="s">
        <v>46</v>
      </c>
      <c r="F39" s="6">
        <v>-53.03</v>
      </c>
    </row>
    <row r="40" ht="15.75" customHeight="1">
      <c r="A40" s="7" t="s">
        <v>55</v>
      </c>
      <c r="B40" s="7" t="s">
        <v>12</v>
      </c>
      <c r="C40" s="7" t="s">
        <v>16</v>
      </c>
      <c r="D40" s="7" t="s">
        <v>56</v>
      </c>
      <c r="E40" s="7" t="s">
        <v>27</v>
      </c>
      <c r="F40" s="8">
        <v>-2.5</v>
      </c>
    </row>
    <row r="41" ht="15.75" customHeight="1">
      <c r="A41" s="5" t="s">
        <v>55</v>
      </c>
      <c r="B41" s="5" t="s">
        <v>12</v>
      </c>
      <c r="C41" s="5" t="s">
        <v>16</v>
      </c>
      <c r="D41" s="5" t="s">
        <v>39</v>
      </c>
      <c r="E41" s="5" t="s">
        <v>40</v>
      </c>
      <c r="F41" s="6">
        <v>-0.15</v>
      </c>
    </row>
    <row r="42" ht="15.75" customHeight="1">
      <c r="A42" s="7" t="s">
        <v>55</v>
      </c>
      <c r="B42" s="7" t="s">
        <v>12</v>
      </c>
      <c r="C42" s="7" t="s">
        <v>16</v>
      </c>
      <c r="D42" s="7" t="s">
        <v>57</v>
      </c>
      <c r="E42" s="7" t="s">
        <v>58</v>
      </c>
      <c r="F42" s="8">
        <v>-43.25</v>
      </c>
    </row>
    <row r="43" ht="15.75" customHeight="1">
      <c r="A43" s="5" t="s">
        <v>55</v>
      </c>
      <c r="B43" s="5" t="s">
        <v>12</v>
      </c>
      <c r="C43" s="5" t="s">
        <v>16</v>
      </c>
      <c r="D43" s="5" t="s">
        <v>59</v>
      </c>
      <c r="E43" s="5" t="s">
        <v>27</v>
      </c>
      <c r="F43" s="6">
        <v>-2.5</v>
      </c>
    </row>
    <row r="44" ht="15.75" customHeight="1">
      <c r="A44" s="7" t="s">
        <v>55</v>
      </c>
      <c r="B44" s="7" t="s">
        <v>12</v>
      </c>
      <c r="C44" s="7" t="s">
        <v>16</v>
      </c>
      <c r="D44" s="7" t="s">
        <v>39</v>
      </c>
      <c r="E44" s="7" t="s">
        <v>40</v>
      </c>
      <c r="F44" s="8">
        <v>-0.15</v>
      </c>
    </row>
    <row r="45" ht="15.75" customHeight="1">
      <c r="A45" s="5" t="s">
        <v>60</v>
      </c>
      <c r="B45" s="5" t="s">
        <v>8</v>
      </c>
      <c r="C45" s="5" t="s">
        <v>16</v>
      </c>
      <c r="D45" s="5" t="s">
        <v>22</v>
      </c>
      <c r="E45" s="5" t="s">
        <v>23</v>
      </c>
      <c r="F45" s="6">
        <v>-10.0</v>
      </c>
    </row>
    <row r="46" ht="15.75" customHeight="1">
      <c r="A46" s="7" t="s">
        <v>60</v>
      </c>
      <c r="B46" s="7" t="s">
        <v>8</v>
      </c>
      <c r="C46" s="7" t="s">
        <v>16</v>
      </c>
      <c r="D46" s="7" t="s">
        <v>22</v>
      </c>
      <c r="E46" s="7" t="s">
        <v>23</v>
      </c>
      <c r="F46" s="8">
        <v>-40.0</v>
      </c>
    </row>
    <row r="47" ht="15.75" customHeight="1">
      <c r="A47" s="5" t="s">
        <v>60</v>
      </c>
      <c r="B47" s="5" t="s">
        <v>12</v>
      </c>
      <c r="C47" s="5" t="s">
        <v>9</v>
      </c>
      <c r="D47" s="5" t="s">
        <v>30</v>
      </c>
      <c r="E47" s="5" t="s">
        <v>11</v>
      </c>
      <c r="F47" s="6">
        <v>10.0</v>
      </c>
    </row>
    <row r="48" ht="15.75" customHeight="1">
      <c r="A48" s="7" t="s">
        <v>60</v>
      </c>
      <c r="B48" s="7" t="s">
        <v>12</v>
      </c>
      <c r="C48" s="7" t="s">
        <v>9</v>
      </c>
      <c r="D48" s="7" t="s">
        <v>30</v>
      </c>
      <c r="E48" s="7" t="s">
        <v>11</v>
      </c>
      <c r="F48" s="8">
        <v>40.0</v>
      </c>
    </row>
    <row r="49" ht="15.75" customHeight="1">
      <c r="A49" s="5" t="s">
        <v>61</v>
      </c>
      <c r="B49" s="5" t="s">
        <v>8</v>
      </c>
      <c r="C49" s="5" t="s">
        <v>9</v>
      </c>
      <c r="D49" s="5" t="s">
        <v>20</v>
      </c>
      <c r="E49" s="5" t="s">
        <v>21</v>
      </c>
      <c r="F49" s="6">
        <v>200.0</v>
      </c>
    </row>
    <row r="50" ht="15.75" customHeight="1">
      <c r="A50" s="7" t="s">
        <v>61</v>
      </c>
      <c r="B50" s="7" t="s">
        <v>8</v>
      </c>
      <c r="C50" s="7" t="s">
        <v>16</v>
      </c>
      <c r="D50" s="7" t="s">
        <v>22</v>
      </c>
      <c r="E50" s="7" t="s">
        <v>23</v>
      </c>
      <c r="F50" s="8">
        <v>-40.0</v>
      </c>
    </row>
    <row r="51" ht="15.75" customHeight="1">
      <c r="A51" s="5" t="s">
        <v>61</v>
      </c>
      <c r="B51" s="5" t="s">
        <v>8</v>
      </c>
      <c r="C51" s="5" t="s">
        <v>16</v>
      </c>
      <c r="D51" s="5" t="s">
        <v>22</v>
      </c>
      <c r="E51" s="5" t="s">
        <v>23</v>
      </c>
      <c r="F51" s="6">
        <v>-10.0</v>
      </c>
    </row>
    <row r="52" ht="15.75" customHeight="1">
      <c r="A52" s="7" t="s">
        <v>61</v>
      </c>
      <c r="B52" s="7" t="s">
        <v>8</v>
      </c>
      <c r="C52" s="7" t="s">
        <v>9</v>
      </c>
      <c r="D52" s="7" t="s">
        <v>24</v>
      </c>
      <c r="E52" s="7" t="s">
        <v>25</v>
      </c>
      <c r="F52" s="8">
        <v>0.01</v>
      </c>
    </row>
    <row r="53" ht="15.75" customHeight="1">
      <c r="A53" s="5" t="s">
        <v>61</v>
      </c>
      <c r="B53" s="5" t="s">
        <v>8</v>
      </c>
      <c r="C53" s="5" t="s">
        <v>16</v>
      </c>
      <c r="D53" s="5" t="s">
        <v>26</v>
      </c>
      <c r="E53" s="5" t="s">
        <v>27</v>
      </c>
      <c r="F53" s="6">
        <v>-5.0</v>
      </c>
    </row>
    <row r="54" ht="15.75" customHeight="1">
      <c r="A54" s="7" t="s">
        <v>61</v>
      </c>
      <c r="B54" s="7" t="s">
        <v>12</v>
      </c>
      <c r="C54" s="7" t="s">
        <v>9</v>
      </c>
      <c r="D54" s="7" t="s">
        <v>30</v>
      </c>
      <c r="E54" s="7" t="s">
        <v>11</v>
      </c>
      <c r="F54" s="8">
        <v>40.0</v>
      </c>
    </row>
    <row r="55" ht="15.75" customHeight="1">
      <c r="A55" s="5" t="s">
        <v>61</v>
      </c>
      <c r="B55" s="5" t="s">
        <v>12</v>
      </c>
      <c r="C55" s="5" t="s">
        <v>9</v>
      </c>
      <c r="D55" s="5" t="s">
        <v>30</v>
      </c>
      <c r="E55" s="5" t="s">
        <v>11</v>
      </c>
      <c r="F55" s="6">
        <v>10.0</v>
      </c>
    </row>
    <row r="56" ht="15.75" customHeight="1">
      <c r="A56" s="7" t="s">
        <v>61</v>
      </c>
      <c r="B56" s="7" t="s">
        <v>12</v>
      </c>
      <c r="C56" s="7" t="s">
        <v>16</v>
      </c>
      <c r="D56" s="7" t="s">
        <v>62</v>
      </c>
      <c r="E56" s="7" t="s">
        <v>63</v>
      </c>
      <c r="F56" s="8">
        <v>-27.17</v>
      </c>
    </row>
    <row r="57" ht="15.75" customHeight="1">
      <c r="A57" s="5" t="s">
        <v>61</v>
      </c>
      <c r="B57" s="5" t="s">
        <v>12</v>
      </c>
      <c r="C57" s="5" t="s">
        <v>16</v>
      </c>
      <c r="D57" s="5" t="s">
        <v>64</v>
      </c>
      <c r="E57" s="5" t="s">
        <v>63</v>
      </c>
      <c r="F57" s="6">
        <v>-17.29</v>
      </c>
    </row>
    <row r="58" ht="15.75" customHeight="1">
      <c r="A58" s="7" t="s">
        <v>65</v>
      </c>
      <c r="B58" s="7" t="s">
        <v>12</v>
      </c>
      <c r="C58" s="7" t="s">
        <v>16</v>
      </c>
      <c r="D58" s="7" t="s">
        <v>62</v>
      </c>
      <c r="E58" s="7" t="s">
        <v>63</v>
      </c>
      <c r="F58" s="8">
        <v>-40.7</v>
      </c>
    </row>
    <row r="59" ht="15.75" customHeight="1">
      <c r="A59" s="5" t="s">
        <v>66</v>
      </c>
      <c r="B59" s="5" t="s">
        <v>8</v>
      </c>
      <c r="C59" s="5" t="s">
        <v>16</v>
      </c>
      <c r="D59" s="5" t="s">
        <v>22</v>
      </c>
      <c r="E59" s="5" t="s">
        <v>23</v>
      </c>
      <c r="F59" s="6">
        <v>-20.0</v>
      </c>
    </row>
    <row r="60" ht="15.75" customHeight="1">
      <c r="A60" s="7" t="s">
        <v>66</v>
      </c>
      <c r="B60" s="7" t="s">
        <v>8</v>
      </c>
      <c r="C60" s="7" t="s">
        <v>16</v>
      </c>
      <c r="D60" s="7" t="s">
        <v>22</v>
      </c>
      <c r="E60" s="7" t="s">
        <v>23</v>
      </c>
      <c r="F60" s="8">
        <v>-240.0</v>
      </c>
    </row>
    <row r="61" ht="15.75" customHeight="1">
      <c r="A61" s="5" t="s">
        <v>66</v>
      </c>
      <c r="B61" s="5" t="s">
        <v>12</v>
      </c>
      <c r="C61" s="5" t="s">
        <v>9</v>
      </c>
      <c r="D61" s="5" t="s">
        <v>30</v>
      </c>
      <c r="E61" s="5" t="s">
        <v>11</v>
      </c>
      <c r="F61" s="6">
        <v>20.0</v>
      </c>
    </row>
    <row r="62" ht="15.75" customHeight="1">
      <c r="A62" s="7" t="s">
        <v>66</v>
      </c>
      <c r="B62" s="7" t="s">
        <v>12</v>
      </c>
      <c r="C62" s="7" t="s">
        <v>9</v>
      </c>
      <c r="D62" s="7" t="s">
        <v>30</v>
      </c>
      <c r="E62" s="7" t="s">
        <v>11</v>
      </c>
      <c r="F62" s="8">
        <v>240.0</v>
      </c>
    </row>
    <row r="63" ht="15.75" customHeight="1">
      <c r="A63" s="5" t="s">
        <v>66</v>
      </c>
      <c r="B63" s="5" t="s">
        <v>12</v>
      </c>
      <c r="C63" s="5" t="s">
        <v>16</v>
      </c>
      <c r="D63" s="5" t="s">
        <v>62</v>
      </c>
      <c r="E63" s="5" t="s">
        <v>63</v>
      </c>
      <c r="F63" s="6">
        <v>-32.11</v>
      </c>
    </row>
    <row r="64" ht="15.75" customHeight="1">
      <c r="A64" s="7" t="s">
        <v>67</v>
      </c>
      <c r="B64" s="7" t="s">
        <v>8</v>
      </c>
      <c r="C64" s="7" t="s">
        <v>16</v>
      </c>
      <c r="D64" s="7" t="s">
        <v>22</v>
      </c>
      <c r="E64" s="7" t="s">
        <v>23</v>
      </c>
      <c r="F64" s="8">
        <v>-10.0</v>
      </c>
    </row>
    <row r="65" ht="15.75" customHeight="1">
      <c r="A65" s="5" t="s">
        <v>67</v>
      </c>
      <c r="B65" s="5" t="s">
        <v>8</v>
      </c>
      <c r="C65" s="5" t="s">
        <v>16</v>
      </c>
      <c r="D65" s="5" t="s">
        <v>22</v>
      </c>
      <c r="E65" s="5" t="s">
        <v>23</v>
      </c>
      <c r="F65" s="6">
        <v>-30.0</v>
      </c>
    </row>
    <row r="66" ht="15.75" customHeight="1">
      <c r="A66" s="7" t="s">
        <v>67</v>
      </c>
      <c r="B66" s="7" t="s">
        <v>8</v>
      </c>
      <c r="C66" s="7" t="s">
        <v>16</v>
      </c>
      <c r="D66" s="7" t="s">
        <v>22</v>
      </c>
      <c r="E66" s="7" t="s">
        <v>23</v>
      </c>
      <c r="F66" s="8">
        <v>-80.0</v>
      </c>
    </row>
    <row r="67" ht="15.75" customHeight="1">
      <c r="A67" s="5" t="s">
        <v>67</v>
      </c>
      <c r="B67" s="5" t="s">
        <v>12</v>
      </c>
      <c r="C67" s="5" t="s">
        <v>9</v>
      </c>
      <c r="D67" s="5" t="s">
        <v>30</v>
      </c>
      <c r="E67" s="5" t="s">
        <v>11</v>
      </c>
      <c r="F67" s="6">
        <v>10.0</v>
      </c>
    </row>
    <row r="68" ht="15.75" customHeight="1">
      <c r="A68" s="7" t="s">
        <v>67</v>
      </c>
      <c r="B68" s="7" t="s">
        <v>12</v>
      </c>
      <c r="C68" s="7" t="s">
        <v>9</v>
      </c>
      <c r="D68" s="7" t="s">
        <v>30</v>
      </c>
      <c r="E68" s="7" t="s">
        <v>11</v>
      </c>
      <c r="F68" s="8">
        <v>30.0</v>
      </c>
    </row>
    <row r="69" ht="15.75" customHeight="1">
      <c r="A69" s="5" t="s">
        <v>67</v>
      </c>
      <c r="B69" s="5" t="s">
        <v>12</v>
      </c>
      <c r="C69" s="5" t="s">
        <v>9</v>
      </c>
      <c r="D69" s="5" t="s">
        <v>30</v>
      </c>
      <c r="E69" s="5" t="s">
        <v>11</v>
      </c>
      <c r="F69" s="6">
        <v>80.0</v>
      </c>
    </row>
    <row r="70" ht="15.75" customHeight="1">
      <c r="A70" s="7" t="s">
        <v>67</v>
      </c>
      <c r="B70" s="7" t="s">
        <v>12</v>
      </c>
      <c r="C70" s="7" t="s">
        <v>16</v>
      </c>
      <c r="D70" s="7" t="s">
        <v>68</v>
      </c>
      <c r="E70" s="7" t="s">
        <v>46</v>
      </c>
      <c r="F70" s="8">
        <v>-208.6</v>
      </c>
    </row>
    <row r="71" ht="15.75" customHeight="1">
      <c r="A71" s="5" t="s">
        <v>67</v>
      </c>
      <c r="B71" s="5" t="s">
        <v>12</v>
      </c>
      <c r="C71" s="5" t="s">
        <v>16</v>
      </c>
      <c r="D71" s="5" t="s">
        <v>42</v>
      </c>
      <c r="E71" s="5" t="s">
        <v>43</v>
      </c>
      <c r="F71" s="6">
        <v>-16.94</v>
      </c>
    </row>
    <row r="72" ht="15.75" customHeight="1">
      <c r="A72" s="7" t="s">
        <v>67</v>
      </c>
      <c r="B72" s="7" t="s">
        <v>12</v>
      </c>
      <c r="C72" s="7" t="s">
        <v>16</v>
      </c>
      <c r="D72" s="7" t="s">
        <v>62</v>
      </c>
      <c r="E72" s="7" t="s">
        <v>63</v>
      </c>
      <c r="F72" s="8">
        <v>-17.22</v>
      </c>
    </row>
    <row r="73" ht="15.75" customHeight="1">
      <c r="A73" s="5" t="s">
        <v>67</v>
      </c>
      <c r="B73" s="5" t="s">
        <v>12</v>
      </c>
      <c r="C73" s="5" t="s">
        <v>16</v>
      </c>
      <c r="D73" s="5" t="s">
        <v>62</v>
      </c>
      <c r="E73" s="5" t="s">
        <v>63</v>
      </c>
      <c r="F73" s="6">
        <v>-4.63</v>
      </c>
    </row>
    <row r="74" ht="15.75" customHeight="1">
      <c r="A74" s="7" t="s">
        <v>67</v>
      </c>
      <c r="B74" s="7" t="s">
        <v>12</v>
      </c>
      <c r="C74" s="7" t="s">
        <v>16</v>
      </c>
      <c r="D74" s="7" t="s">
        <v>69</v>
      </c>
      <c r="E74" s="7" t="s">
        <v>63</v>
      </c>
      <c r="F74" s="8">
        <v>-30.4</v>
      </c>
    </row>
    <row r="75" ht="15.75" customHeight="1">
      <c r="A75" s="5" t="s">
        <v>70</v>
      </c>
      <c r="B75" s="5" t="s">
        <v>8</v>
      </c>
      <c r="C75" s="5" t="s">
        <v>16</v>
      </c>
      <c r="D75" s="5" t="s">
        <v>22</v>
      </c>
      <c r="E75" s="5" t="s">
        <v>23</v>
      </c>
      <c r="F75" s="6">
        <v>-40.0</v>
      </c>
    </row>
    <row r="76" ht="15.75" customHeight="1">
      <c r="A76" s="7" t="s">
        <v>70</v>
      </c>
      <c r="B76" s="7" t="s">
        <v>12</v>
      </c>
      <c r="C76" s="7" t="s">
        <v>9</v>
      </c>
      <c r="D76" s="7" t="s">
        <v>30</v>
      </c>
      <c r="E76" s="7" t="s">
        <v>11</v>
      </c>
      <c r="F76" s="8">
        <v>40.0</v>
      </c>
    </row>
    <row r="77" ht="15.75" customHeight="1">
      <c r="A77" s="5" t="s">
        <v>70</v>
      </c>
      <c r="B77" s="5" t="s">
        <v>12</v>
      </c>
      <c r="C77" s="5" t="s">
        <v>16</v>
      </c>
      <c r="D77" s="5" t="s">
        <v>62</v>
      </c>
      <c r="E77" s="5" t="s">
        <v>63</v>
      </c>
      <c r="F77" s="6">
        <v>-40.55</v>
      </c>
    </row>
    <row r="78" ht="15.75" customHeight="1">
      <c r="A78" s="7" t="s">
        <v>70</v>
      </c>
      <c r="B78" s="7" t="s">
        <v>12</v>
      </c>
      <c r="C78" s="7" t="s">
        <v>16</v>
      </c>
      <c r="D78" s="7" t="s">
        <v>71</v>
      </c>
      <c r="E78" s="7" t="s">
        <v>72</v>
      </c>
      <c r="F78" s="8">
        <v>-29.68</v>
      </c>
    </row>
    <row r="79" ht="15.75" customHeight="1">
      <c r="A79" s="5" t="s">
        <v>70</v>
      </c>
      <c r="B79" s="5" t="s">
        <v>12</v>
      </c>
      <c r="C79" s="5" t="s">
        <v>16</v>
      </c>
      <c r="D79" s="5" t="s">
        <v>62</v>
      </c>
      <c r="E79" s="5" t="s">
        <v>63</v>
      </c>
      <c r="F79" s="6">
        <v>-1.47</v>
      </c>
    </row>
    <row r="80" ht="15.75" customHeight="1">
      <c r="A80" s="7" t="s">
        <v>73</v>
      </c>
      <c r="B80" s="7" t="s">
        <v>12</v>
      </c>
      <c r="C80" s="7" t="s">
        <v>16</v>
      </c>
      <c r="D80" s="7" t="s">
        <v>69</v>
      </c>
      <c r="E80" s="7" t="s">
        <v>63</v>
      </c>
      <c r="F80" s="8">
        <v>-49.72</v>
      </c>
    </row>
    <row r="81" ht="15.75" customHeight="1">
      <c r="A81" s="5" t="s">
        <v>74</v>
      </c>
      <c r="B81" s="5" t="s">
        <v>8</v>
      </c>
      <c r="C81" s="5" t="s">
        <v>16</v>
      </c>
      <c r="D81" s="5" t="s">
        <v>22</v>
      </c>
      <c r="E81" s="5" t="s">
        <v>23</v>
      </c>
      <c r="F81" s="6">
        <v>-60.0</v>
      </c>
    </row>
    <row r="82" ht="15.75" customHeight="1">
      <c r="A82" s="7" t="s">
        <v>74</v>
      </c>
      <c r="B82" s="7" t="s">
        <v>8</v>
      </c>
      <c r="C82" s="7" t="s">
        <v>16</v>
      </c>
      <c r="D82" s="7" t="s">
        <v>22</v>
      </c>
      <c r="E82" s="7" t="s">
        <v>23</v>
      </c>
      <c r="F82" s="8">
        <v>-15.0</v>
      </c>
    </row>
    <row r="83" ht="15.75" customHeight="1">
      <c r="A83" s="5" t="s">
        <v>74</v>
      </c>
      <c r="B83" s="5" t="s">
        <v>12</v>
      </c>
      <c r="C83" s="5" t="s">
        <v>9</v>
      </c>
      <c r="D83" s="5" t="s">
        <v>30</v>
      </c>
      <c r="E83" s="5" t="s">
        <v>11</v>
      </c>
      <c r="F83" s="6">
        <v>60.0</v>
      </c>
    </row>
    <row r="84" ht="15.75" customHeight="1">
      <c r="A84" s="7" t="s">
        <v>74</v>
      </c>
      <c r="B84" s="7" t="s">
        <v>12</v>
      </c>
      <c r="C84" s="7" t="s">
        <v>9</v>
      </c>
      <c r="D84" s="7" t="s">
        <v>30</v>
      </c>
      <c r="E84" s="7" t="s">
        <v>11</v>
      </c>
      <c r="F84" s="8">
        <v>15.0</v>
      </c>
    </row>
    <row r="85" ht="15.75" customHeight="1">
      <c r="A85" s="5" t="s">
        <v>74</v>
      </c>
      <c r="B85" s="5" t="s">
        <v>12</v>
      </c>
      <c r="C85" s="5" t="s">
        <v>16</v>
      </c>
      <c r="D85" s="5" t="s">
        <v>69</v>
      </c>
      <c r="E85" s="5" t="s">
        <v>63</v>
      </c>
      <c r="F85" s="6">
        <v>-59.44</v>
      </c>
    </row>
    <row r="86" ht="15.75" customHeight="1">
      <c r="A86" s="7" t="s">
        <v>74</v>
      </c>
      <c r="B86" s="7" t="s">
        <v>12</v>
      </c>
      <c r="C86" s="7" t="s">
        <v>16</v>
      </c>
      <c r="D86" s="7" t="s">
        <v>69</v>
      </c>
      <c r="E86" s="7" t="s">
        <v>63</v>
      </c>
      <c r="F86" s="8">
        <v>-14.93</v>
      </c>
    </row>
    <row r="87" ht="15.75" customHeight="1">
      <c r="A87" s="5" t="s">
        <v>74</v>
      </c>
      <c r="B87" s="5" t="s">
        <v>12</v>
      </c>
      <c r="C87" s="5" t="s">
        <v>16</v>
      </c>
      <c r="D87" s="5" t="s">
        <v>62</v>
      </c>
      <c r="E87" s="5" t="s">
        <v>63</v>
      </c>
      <c r="F87" s="6">
        <v>-2.41</v>
      </c>
    </row>
    <row r="88" ht="15.75" customHeight="1">
      <c r="A88" s="7" t="s">
        <v>75</v>
      </c>
      <c r="B88" s="7" t="s">
        <v>12</v>
      </c>
      <c r="C88" s="7" t="s">
        <v>16</v>
      </c>
      <c r="D88" s="7" t="s">
        <v>56</v>
      </c>
      <c r="E88" s="7" t="s">
        <v>27</v>
      </c>
      <c r="F88" s="8">
        <v>-2.5</v>
      </c>
    </row>
    <row r="89" ht="15.75" customHeight="1">
      <c r="A89" s="5" t="s">
        <v>75</v>
      </c>
      <c r="B89" s="5" t="s">
        <v>12</v>
      </c>
      <c r="C89" s="5" t="s">
        <v>16</v>
      </c>
      <c r="D89" s="5" t="s">
        <v>39</v>
      </c>
      <c r="E89" s="5" t="s">
        <v>40</v>
      </c>
      <c r="F89" s="6">
        <v>-0.15</v>
      </c>
    </row>
    <row r="90" ht="15.75" customHeight="1">
      <c r="A90" s="7" t="s">
        <v>76</v>
      </c>
      <c r="B90" s="7" t="s">
        <v>8</v>
      </c>
      <c r="C90" s="7" t="s">
        <v>9</v>
      </c>
      <c r="D90" s="7" t="s">
        <v>20</v>
      </c>
      <c r="E90" s="7" t="s">
        <v>21</v>
      </c>
      <c r="F90" s="8">
        <v>50.0</v>
      </c>
    </row>
    <row r="91" ht="15.75" customHeight="1">
      <c r="A91" s="5" t="s">
        <v>76</v>
      </c>
      <c r="B91" s="5" t="s">
        <v>8</v>
      </c>
      <c r="C91" s="5" t="s">
        <v>16</v>
      </c>
      <c r="D91" s="5" t="s">
        <v>22</v>
      </c>
      <c r="E91" s="5" t="s">
        <v>23</v>
      </c>
      <c r="F91" s="6">
        <v>-25.0</v>
      </c>
    </row>
    <row r="92" ht="15.75" customHeight="1">
      <c r="A92" s="7" t="s">
        <v>76</v>
      </c>
      <c r="B92" s="7" t="s">
        <v>12</v>
      </c>
      <c r="C92" s="7" t="s">
        <v>9</v>
      </c>
      <c r="D92" s="7" t="s">
        <v>30</v>
      </c>
      <c r="E92" s="7" t="s">
        <v>11</v>
      </c>
      <c r="F92" s="8">
        <v>25.0</v>
      </c>
    </row>
    <row r="93" ht="15.75" customHeight="1">
      <c r="A93" s="5" t="s">
        <v>76</v>
      </c>
      <c r="B93" s="5" t="s">
        <v>12</v>
      </c>
      <c r="C93" s="5" t="s">
        <v>16</v>
      </c>
      <c r="D93" s="5" t="s">
        <v>77</v>
      </c>
      <c r="E93" s="5" t="s">
        <v>78</v>
      </c>
      <c r="F93" s="6">
        <v>-237.04</v>
      </c>
    </row>
    <row r="94" ht="15.75" customHeight="1">
      <c r="A94" s="7" t="s">
        <v>76</v>
      </c>
      <c r="B94" s="7" t="s">
        <v>12</v>
      </c>
      <c r="C94" s="7" t="s">
        <v>16</v>
      </c>
      <c r="D94" s="7" t="s">
        <v>77</v>
      </c>
      <c r="E94" s="7" t="s">
        <v>78</v>
      </c>
      <c r="F94" s="8">
        <v>-908.16</v>
      </c>
    </row>
    <row r="95" ht="15.75" customHeight="1">
      <c r="A95" s="5" t="s">
        <v>79</v>
      </c>
      <c r="B95" s="5" t="s">
        <v>8</v>
      </c>
      <c r="C95" s="5" t="s">
        <v>9</v>
      </c>
      <c r="D95" s="5" t="s">
        <v>20</v>
      </c>
      <c r="E95" s="5" t="s">
        <v>21</v>
      </c>
      <c r="F95" s="6">
        <v>50.0</v>
      </c>
    </row>
    <row r="96" ht="15.75" customHeight="1">
      <c r="A96" s="7" t="s">
        <v>80</v>
      </c>
      <c r="B96" s="7" t="s">
        <v>8</v>
      </c>
      <c r="C96" s="7" t="s">
        <v>16</v>
      </c>
      <c r="D96" s="7" t="s">
        <v>81</v>
      </c>
      <c r="E96" s="7" t="s">
        <v>58</v>
      </c>
      <c r="F96" s="8">
        <v>-70.0</v>
      </c>
    </row>
    <row r="97" ht="15.75" customHeight="1">
      <c r="A97" s="5" t="s">
        <v>80</v>
      </c>
      <c r="B97" s="5" t="s">
        <v>12</v>
      </c>
      <c r="C97" s="5" t="s">
        <v>9</v>
      </c>
      <c r="D97" s="5" t="s">
        <v>82</v>
      </c>
      <c r="E97" s="5" t="s">
        <v>78</v>
      </c>
      <c r="F97" s="6">
        <v>908.16</v>
      </c>
    </row>
    <row r="98" ht="15.75" customHeight="1">
      <c r="A98" s="7" t="s">
        <v>80</v>
      </c>
      <c r="B98" s="7" t="s">
        <v>12</v>
      </c>
      <c r="C98" s="7" t="s">
        <v>9</v>
      </c>
      <c r="D98" s="7" t="s">
        <v>82</v>
      </c>
      <c r="E98" s="7" t="s">
        <v>78</v>
      </c>
      <c r="F98" s="8">
        <v>237.04</v>
      </c>
    </row>
    <row r="99" ht="15.75" customHeight="1">
      <c r="A99" s="5" t="s">
        <v>83</v>
      </c>
      <c r="B99" s="5" t="s">
        <v>8</v>
      </c>
      <c r="C99" s="5" t="s">
        <v>9</v>
      </c>
      <c r="D99" s="5" t="s">
        <v>20</v>
      </c>
      <c r="E99" s="5" t="s">
        <v>21</v>
      </c>
      <c r="F99" s="6">
        <v>20.0</v>
      </c>
    </row>
    <row r="100" ht="15.75" customHeight="1">
      <c r="A100" s="7" t="s">
        <v>83</v>
      </c>
      <c r="B100" s="7" t="s">
        <v>12</v>
      </c>
      <c r="C100" s="7" t="s">
        <v>9</v>
      </c>
      <c r="D100" s="7" t="s">
        <v>84</v>
      </c>
      <c r="E100" s="7" t="s">
        <v>11</v>
      </c>
      <c r="F100" s="8">
        <v>22.0</v>
      </c>
    </row>
    <row r="101" ht="15.75" customHeight="1">
      <c r="A101" s="5" t="s">
        <v>83</v>
      </c>
      <c r="B101" s="5" t="s">
        <v>12</v>
      </c>
      <c r="C101" s="5" t="s">
        <v>16</v>
      </c>
      <c r="D101" s="5" t="s">
        <v>81</v>
      </c>
      <c r="E101" s="5" t="s">
        <v>58</v>
      </c>
      <c r="F101" s="6">
        <v>-45.0</v>
      </c>
    </row>
    <row r="102" ht="15.75" customHeight="1">
      <c r="A102" s="7" t="s">
        <v>85</v>
      </c>
      <c r="B102" s="7" t="s">
        <v>8</v>
      </c>
      <c r="C102" s="7" t="s">
        <v>16</v>
      </c>
      <c r="D102" s="7" t="s">
        <v>81</v>
      </c>
      <c r="E102" s="7" t="s">
        <v>58</v>
      </c>
      <c r="F102" s="8">
        <v>-25.0</v>
      </c>
    </row>
    <row r="103" ht="15.75" customHeight="1">
      <c r="A103" s="5" t="s">
        <v>86</v>
      </c>
      <c r="B103" s="5" t="s">
        <v>8</v>
      </c>
      <c r="C103" s="5" t="s">
        <v>9</v>
      </c>
      <c r="D103" s="5" t="s">
        <v>20</v>
      </c>
      <c r="E103" s="5" t="s">
        <v>21</v>
      </c>
      <c r="F103" s="6">
        <v>90.0</v>
      </c>
    </row>
    <row r="104" ht="15.75" customHeight="1">
      <c r="A104" s="7" t="s">
        <v>86</v>
      </c>
      <c r="B104" s="7" t="s">
        <v>8</v>
      </c>
      <c r="C104" s="7" t="s">
        <v>16</v>
      </c>
      <c r="D104" s="7" t="s">
        <v>81</v>
      </c>
      <c r="E104" s="7" t="s">
        <v>58</v>
      </c>
      <c r="F104" s="8">
        <v>-90.0</v>
      </c>
    </row>
    <row r="105" ht="15.75" customHeight="1">
      <c r="A105" s="5" t="s">
        <v>87</v>
      </c>
      <c r="B105" s="5" t="s">
        <v>8</v>
      </c>
      <c r="C105" s="5" t="s">
        <v>16</v>
      </c>
      <c r="D105" s="5" t="s">
        <v>26</v>
      </c>
      <c r="E105" s="5" t="s">
        <v>27</v>
      </c>
      <c r="F105" s="6">
        <v>-5.0</v>
      </c>
    </row>
    <row r="106" ht="15.75" customHeight="1">
      <c r="A106" s="7" t="s">
        <v>88</v>
      </c>
      <c r="B106" s="7" t="s">
        <v>8</v>
      </c>
      <c r="C106" s="7" t="s">
        <v>9</v>
      </c>
      <c r="D106" s="7" t="s">
        <v>20</v>
      </c>
      <c r="E106" s="7" t="s">
        <v>21</v>
      </c>
      <c r="F106" s="8">
        <v>50.0</v>
      </c>
    </row>
    <row r="107" ht="15.75" customHeight="1">
      <c r="A107" s="5" t="s">
        <v>89</v>
      </c>
      <c r="B107" s="5" t="s">
        <v>8</v>
      </c>
      <c r="C107" s="5" t="s">
        <v>16</v>
      </c>
      <c r="D107" s="5" t="s">
        <v>22</v>
      </c>
      <c r="E107" s="5" t="s">
        <v>23</v>
      </c>
      <c r="F107" s="6">
        <v>-45.0</v>
      </c>
    </row>
    <row r="108" ht="15.75" customHeight="1">
      <c r="A108" s="7" t="s">
        <v>89</v>
      </c>
      <c r="B108" s="7" t="s">
        <v>12</v>
      </c>
      <c r="C108" s="7" t="s">
        <v>9</v>
      </c>
      <c r="D108" s="7" t="s">
        <v>30</v>
      </c>
      <c r="E108" s="7" t="s">
        <v>11</v>
      </c>
      <c r="F108" s="8">
        <v>45.0</v>
      </c>
    </row>
    <row r="109" ht="15.75" customHeight="1">
      <c r="A109" s="5" t="s">
        <v>89</v>
      </c>
      <c r="B109" s="5" t="s">
        <v>12</v>
      </c>
      <c r="C109" s="5" t="s">
        <v>16</v>
      </c>
      <c r="D109" s="5" t="s">
        <v>56</v>
      </c>
      <c r="E109" s="5" t="s">
        <v>27</v>
      </c>
      <c r="F109" s="6">
        <v>-3.0</v>
      </c>
    </row>
    <row r="110" ht="15.75" customHeight="1">
      <c r="A110" s="7" t="s">
        <v>89</v>
      </c>
      <c r="B110" s="7" t="s">
        <v>12</v>
      </c>
      <c r="C110" s="7" t="s">
        <v>16</v>
      </c>
      <c r="D110" s="7" t="s">
        <v>39</v>
      </c>
      <c r="E110" s="7" t="s">
        <v>40</v>
      </c>
      <c r="F110" s="8">
        <v>-0.18</v>
      </c>
    </row>
    <row r="111" ht="15.75" customHeight="1">
      <c r="A111" s="5" t="s">
        <v>89</v>
      </c>
      <c r="B111" s="5" t="s">
        <v>12</v>
      </c>
      <c r="C111" s="5" t="s">
        <v>16</v>
      </c>
      <c r="D111" s="5" t="s">
        <v>69</v>
      </c>
      <c r="E111" s="5" t="s">
        <v>63</v>
      </c>
      <c r="F111" s="6">
        <v>-7.0</v>
      </c>
    </row>
    <row r="112" ht="15.75" customHeight="1">
      <c r="A112" s="7" t="s">
        <v>89</v>
      </c>
      <c r="B112" s="7" t="s">
        <v>12</v>
      </c>
      <c r="C112" s="7" t="s">
        <v>16</v>
      </c>
      <c r="D112" s="7" t="s">
        <v>69</v>
      </c>
      <c r="E112" s="7" t="s">
        <v>63</v>
      </c>
      <c r="F112" s="8">
        <v>-21.16</v>
      </c>
    </row>
    <row r="113" ht="15.75" customHeight="1">
      <c r="A113" s="5" t="s">
        <v>89</v>
      </c>
      <c r="B113" s="5" t="s">
        <v>12</v>
      </c>
      <c r="C113" s="5" t="s">
        <v>16</v>
      </c>
      <c r="D113" s="5" t="s">
        <v>69</v>
      </c>
      <c r="E113" s="5" t="s">
        <v>63</v>
      </c>
      <c r="F113" s="6">
        <v>-11.38</v>
      </c>
    </row>
    <row r="114" ht="15.75" customHeight="1">
      <c r="A114" s="7" t="s">
        <v>89</v>
      </c>
      <c r="B114" s="7" t="s">
        <v>12</v>
      </c>
      <c r="C114" s="7" t="s">
        <v>16</v>
      </c>
      <c r="D114" s="7" t="s">
        <v>64</v>
      </c>
      <c r="E114" s="7" t="s">
        <v>63</v>
      </c>
      <c r="F114" s="8">
        <v>-2.53</v>
      </c>
    </row>
    <row r="115" ht="15.75" customHeight="1">
      <c r="A115" s="5" t="s">
        <v>90</v>
      </c>
      <c r="B115" s="5" t="s">
        <v>12</v>
      </c>
      <c r="C115" s="5" t="s">
        <v>9</v>
      </c>
      <c r="D115" s="5" t="s">
        <v>91</v>
      </c>
      <c r="E115" s="5" t="s">
        <v>92</v>
      </c>
      <c r="F115" s="6">
        <v>9.7</v>
      </c>
    </row>
    <row r="116" ht="15.75" customHeight="1">
      <c r="A116" s="7" t="s">
        <v>93</v>
      </c>
      <c r="B116" s="7" t="s">
        <v>12</v>
      </c>
      <c r="C116" s="7" t="s">
        <v>16</v>
      </c>
      <c r="D116" s="7" t="s">
        <v>62</v>
      </c>
      <c r="E116" s="7" t="s">
        <v>63</v>
      </c>
      <c r="F116" s="8">
        <v>-3.79</v>
      </c>
    </row>
    <row r="117" ht="15.75" customHeight="1">
      <c r="A117" s="5" t="s">
        <v>94</v>
      </c>
      <c r="B117" s="5" t="s">
        <v>12</v>
      </c>
      <c r="C117" s="5" t="s">
        <v>16</v>
      </c>
      <c r="D117" s="5" t="s">
        <v>56</v>
      </c>
      <c r="E117" s="5" t="s">
        <v>27</v>
      </c>
      <c r="F117" s="6">
        <v>-3.0</v>
      </c>
    </row>
    <row r="118" ht="15.75" customHeight="1">
      <c r="A118" s="7" t="s">
        <v>94</v>
      </c>
      <c r="B118" s="7" t="s">
        <v>12</v>
      </c>
      <c r="C118" s="7" t="s">
        <v>16</v>
      </c>
      <c r="D118" s="7" t="s">
        <v>39</v>
      </c>
      <c r="E118" s="7" t="s">
        <v>40</v>
      </c>
      <c r="F118" s="8">
        <v>-0.18</v>
      </c>
    </row>
    <row r="119" ht="15.75" customHeight="1">
      <c r="A119" s="5" t="s">
        <v>94</v>
      </c>
      <c r="B119" s="5" t="s">
        <v>12</v>
      </c>
      <c r="C119" s="5" t="s">
        <v>16</v>
      </c>
      <c r="D119" s="5" t="s">
        <v>62</v>
      </c>
      <c r="E119" s="5" t="s">
        <v>63</v>
      </c>
      <c r="F119" s="6">
        <v>-1.69</v>
      </c>
    </row>
    <row r="120" ht="15.75" customHeight="1">
      <c r="A120" s="7" t="s">
        <v>95</v>
      </c>
      <c r="B120" s="7" t="s">
        <v>8</v>
      </c>
      <c r="C120" s="7" t="s">
        <v>16</v>
      </c>
      <c r="D120" s="7" t="s">
        <v>26</v>
      </c>
      <c r="E120" s="7" t="s">
        <v>27</v>
      </c>
      <c r="F120" s="8">
        <v>-5.0</v>
      </c>
    </row>
    <row r="121" ht="15.75" customHeight="1">
      <c r="A121" s="5" t="s">
        <v>96</v>
      </c>
      <c r="B121" s="5" t="s">
        <v>8</v>
      </c>
      <c r="C121" s="5" t="s">
        <v>9</v>
      </c>
      <c r="D121" s="5" t="s">
        <v>97</v>
      </c>
      <c r="E121" s="5" t="s">
        <v>29</v>
      </c>
      <c r="F121" s="6">
        <v>5.0</v>
      </c>
    </row>
    <row r="122" ht="15.75" customHeight="1">
      <c r="A122" s="7" t="s">
        <v>96</v>
      </c>
      <c r="B122" s="7" t="s">
        <v>8</v>
      </c>
      <c r="C122" s="7" t="s">
        <v>9</v>
      </c>
      <c r="D122" s="7" t="s">
        <v>97</v>
      </c>
      <c r="E122" s="7" t="s">
        <v>29</v>
      </c>
      <c r="F122" s="8">
        <v>5.0</v>
      </c>
    </row>
    <row r="123" ht="15.75" customHeight="1">
      <c r="A123" s="5" t="s">
        <v>96</v>
      </c>
      <c r="B123" s="5" t="s">
        <v>8</v>
      </c>
      <c r="C123" s="5" t="s">
        <v>9</v>
      </c>
      <c r="D123" s="5" t="s">
        <v>97</v>
      </c>
      <c r="E123" s="5" t="s">
        <v>29</v>
      </c>
      <c r="F123" s="6">
        <v>5.0</v>
      </c>
    </row>
    <row r="124" ht="15.75" customHeight="1">
      <c r="A124" s="7" t="s">
        <v>98</v>
      </c>
      <c r="B124" s="7" t="s">
        <v>8</v>
      </c>
      <c r="C124" s="7" t="s">
        <v>16</v>
      </c>
      <c r="D124" s="7" t="s">
        <v>22</v>
      </c>
      <c r="E124" s="7" t="s">
        <v>23</v>
      </c>
      <c r="F124" s="8">
        <v>-10.0</v>
      </c>
    </row>
    <row r="125" ht="15.75" customHeight="1">
      <c r="A125" s="5" t="s">
        <v>98</v>
      </c>
      <c r="B125" s="5" t="s">
        <v>12</v>
      </c>
      <c r="C125" s="5" t="s">
        <v>9</v>
      </c>
      <c r="D125" s="5" t="s">
        <v>30</v>
      </c>
      <c r="E125" s="5" t="s">
        <v>11</v>
      </c>
      <c r="F125" s="6">
        <v>10.0</v>
      </c>
    </row>
    <row r="126" ht="15.75" customHeight="1">
      <c r="A126" s="7" t="s">
        <v>99</v>
      </c>
      <c r="B126" s="7" t="s">
        <v>12</v>
      </c>
      <c r="C126" s="7" t="s">
        <v>16</v>
      </c>
      <c r="D126" s="7" t="s">
        <v>62</v>
      </c>
      <c r="E126" s="7" t="s">
        <v>63</v>
      </c>
      <c r="F126" s="8">
        <v>-11.46</v>
      </c>
    </row>
    <row r="127" ht="15.75" customHeight="1">
      <c r="A127" s="5" t="s">
        <v>100</v>
      </c>
      <c r="B127" s="5" t="s">
        <v>8</v>
      </c>
      <c r="C127" s="5" t="s">
        <v>16</v>
      </c>
      <c r="D127" s="5" t="s">
        <v>26</v>
      </c>
      <c r="E127" s="5" t="s">
        <v>27</v>
      </c>
      <c r="F127" s="6">
        <v>-5.0</v>
      </c>
    </row>
    <row r="128" ht="15.75" customHeight="1">
      <c r="A128" s="7" t="s">
        <v>101</v>
      </c>
      <c r="B128" s="7" t="s">
        <v>8</v>
      </c>
      <c r="C128" s="7" t="s">
        <v>9</v>
      </c>
      <c r="D128" s="7" t="s">
        <v>102</v>
      </c>
      <c r="E128" s="7" t="s">
        <v>11</v>
      </c>
      <c r="F128" s="8">
        <v>10.0</v>
      </c>
    </row>
    <row r="129" ht="15.75" customHeight="1">
      <c r="A129" s="5" t="s">
        <v>101</v>
      </c>
      <c r="B129" s="5" t="s">
        <v>12</v>
      </c>
      <c r="C129" s="5" t="s">
        <v>16</v>
      </c>
      <c r="D129" s="5" t="s">
        <v>103</v>
      </c>
      <c r="E129" s="5" t="s">
        <v>23</v>
      </c>
      <c r="F129" s="6">
        <v>-10.0</v>
      </c>
    </row>
    <row r="130" ht="15.75" customHeight="1">
      <c r="A130" s="7" t="s">
        <v>101</v>
      </c>
      <c r="B130" s="7" t="s">
        <v>12</v>
      </c>
      <c r="C130" s="7" t="s">
        <v>9</v>
      </c>
      <c r="D130" s="7" t="s">
        <v>10</v>
      </c>
      <c r="E130" s="7" t="s">
        <v>11</v>
      </c>
      <c r="F130" s="8">
        <v>30.0</v>
      </c>
    </row>
    <row r="131" ht="15.75" customHeight="1">
      <c r="A131" s="5" t="s">
        <v>104</v>
      </c>
      <c r="B131" s="5" t="s">
        <v>12</v>
      </c>
      <c r="C131" s="5" t="s">
        <v>16</v>
      </c>
      <c r="D131" s="5" t="s">
        <v>105</v>
      </c>
      <c r="E131" s="5" t="s">
        <v>37</v>
      </c>
      <c r="F131" s="6">
        <v>-10.0</v>
      </c>
    </row>
    <row r="132" ht="15.75" customHeight="1">
      <c r="A132" s="7" t="s">
        <v>106</v>
      </c>
      <c r="B132" s="7" t="s">
        <v>8</v>
      </c>
      <c r="C132" s="7" t="s">
        <v>16</v>
      </c>
      <c r="D132" s="7" t="s">
        <v>22</v>
      </c>
      <c r="E132" s="7" t="s">
        <v>23</v>
      </c>
      <c r="F132" s="8">
        <v>-5.0</v>
      </c>
    </row>
    <row r="133" ht="15.75" customHeight="1">
      <c r="A133" s="5" t="s">
        <v>106</v>
      </c>
      <c r="B133" s="5" t="s">
        <v>12</v>
      </c>
      <c r="C133" s="5" t="s">
        <v>9</v>
      </c>
      <c r="D133" s="5" t="s">
        <v>30</v>
      </c>
      <c r="E133" s="5" t="s">
        <v>11</v>
      </c>
      <c r="F133" s="6">
        <v>5.0</v>
      </c>
    </row>
    <row r="134" ht="15.75" customHeight="1">
      <c r="A134" s="7" t="s">
        <v>106</v>
      </c>
      <c r="B134" s="7" t="s">
        <v>12</v>
      </c>
      <c r="C134" s="7" t="s">
        <v>16</v>
      </c>
      <c r="D134" s="7" t="s">
        <v>62</v>
      </c>
      <c r="E134" s="7" t="s">
        <v>63</v>
      </c>
      <c r="F134" s="8">
        <v>-12.11</v>
      </c>
    </row>
    <row r="135" ht="15.75" customHeight="1">
      <c r="A135" s="5" t="s">
        <v>107</v>
      </c>
      <c r="B135" s="5" t="s">
        <v>12</v>
      </c>
      <c r="C135" s="5" t="s">
        <v>16</v>
      </c>
      <c r="D135" s="5" t="s">
        <v>62</v>
      </c>
      <c r="E135" s="5" t="s">
        <v>63</v>
      </c>
      <c r="F135" s="6">
        <v>-2.86</v>
      </c>
    </row>
    <row r="136" ht="15.75" customHeight="1">
      <c r="A136" s="7" t="s">
        <v>108</v>
      </c>
      <c r="B136" s="7" t="s">
        <v>8</v>
      </c>
      <c r="C136" s="7" t="s">
        <v>16</v>
      </c>
      <c r="D136" s="7" t="s">
        <v>26</v>
      </c>
      <c r="E136" s="7" t="s">
        <v>27</v>
      </c>
      <c r="F136" s="8">
        <v>-5.0</v>
      </c>
    </row>
    <row r="137" ht="15.75" customHeight="1">
      <c r="A137" s="5" t="s">
        <v>109</v>
      </c>
      <c r="B137" s="5" t="s">
        <v>12</v>
      </c>
      <c r="C137" s="5" t="s">
        <v>16</v>
      </c>
      <c r="D137" s="5" t="s">
        <v>110</v>
      </c>
      <c r="E137" s="5" t="s">
        <v>37</v>
      </c>
      <c r="F137" s="6">
        <v>-10.0</v>
      </c>
    </row>
    <row r="138" ht="15.75" customHeight="1">
      <c r="A138" s="7" t="s">
        <v>111</v>
      </c>
      <c r="B138" s="7" t="s">
        <v>12</v>
      </c>
      <c r="C138" s="7" t="s">
        <v>16</v>
      </c>
      <c r="D138" s="7" t="s">
        <v>112</v>
      </c>
      <c r="E138" s="7" t="s">
        <v>27</v>
      </c>
      <c r="F138" s="8">
        <v>-36.0</v>
      </c>
    </row>
    <row r="139" ht="15.75" customHeight="1">
      <c r="A139" s="5" t="s">
        <v>113</v>
      </c>
      <c r="B139" s="5" t="s">
        <v>8</v>
      </c>
      <c r="C139" s="5" t="s">
        <v>9</v>
      </c>
      <c r="D139" s="5" t="s">
        <v>20</v>
      </c>
      <c r="E139" s="5" t="s">
        <v>21</v>
      </c>
      <c r="F139" s="6">
        <v>20.0</v>
      </c>
    </row>
    <row r="140" ht="15.75" customHeight="1">
      <c r="A140" s="7" t="s">
        <v>114</v>
      </c>
      <c r="B140" s="7" t="s">
        <v>8</v>
      </c>
      <c r="C140" s="7" t="s">
        <v>16</v>
      </c>
      <c r="D140" s="7" t="s">
        <v>22</v>
      </c>
      <c r="E140" s="7" t="s">
        <v>23</v>
      </c>
      <c r="F140" s="8">
        <v>-15.0</v>
      </c>
    </row>
    <row r="141" ht="15.75" customHeight="1">
      <c r="A141" s="5" t="s">
        <v>114</v>
      </c>
      <c r="B141" s="5" t="s">
        <v>12</v>
      </c>
      <c r="C141" s="5" t="s">
        <v>9</v>
      </c>
      <c r="D141" s="5" t="s">
        <v>30</v>
      </c>
      <c r="E141" s="5" t="s">
        <v>11</v>
      </c>
      <c r="F141" s="6">
        <v>15.0</v>
      </c>
    </row>
    <row r="142" ht="15.75" customHeight="1">
      <c r="A142" s="7" t="s">
        <v>115</v>
      </c>
      <c r="B142" s="7" t="s">
        <v>12</v>
      </c>
      <c r="C142" s="7" t="s">
        <v>9</v>
      </c>
      <c r="D142" s="7" t="s">
        <v>10</v>
      </c>
      <c r="E142" s="7" t="s">
        <v>11</v>
      </c>
      <c r="F142" s="8">
        <v>40.0</v>
      </c>
    </row>
    <row r="143" ht="15.75" customHeight="1">
      <c r="A143" s="5" t="s">
        <v>116</v>
      </c>
      <c r="B143" s="5" t="s">
        <v>8</v>
      </c>
      <c r="C143" s="5" t="s">
        <v>16</v>
      </c>
      <c r="D143" s="5" t="s">
        <v>26</v>
      </c>
      <c r="E143" s="5" t="s">
        <v>27</v>
      </c>
      <c r="F143" s="6">
        <v>-5.0</v>
      </c>
    </row>
    <row r="144" ht="15.75" customHeight="1">
      <c r="A144" s="7" t="s">
        <v>117</v>
      </c>
      <c r="B144" s="7" t="s">
        <v>8</v>
      </c>
      <c r="C144" s="7" t="s">
        <v>9</v>
      </c>
      <c r="D144" s="7" t="s">
        <v>102</v>
      </c>
      <c r="E144" s="7" t="s">
        <v>11</v>
      </c>
      <c r="F144" s="8">
        <v>5.0</v>
      </c>
    </row>
    <row r="145" ht="15.75" customHeight="1">
      <c r="A145" s="5" t="s">
        <v>117</v>
      </c>
      <c r="B145" s="5" t="s">
        <v>12</v>
      </c>
      <c r="C145" s="5" t="s">
        <v>16</v>
      </c>
      <c r="D145" s="5" t="s">
        <v>103</v>
      </c>
      <c r="E145" s="5" t="s">
        <v>23</v>
      </c>
      <c r="F145" s="6">
        <v>-5.0</v>
      </c>
    </row>
    <row r="146" ht="15.75" customHeight="1">
      <c r="A146" s="7" t="s">
        <v>118</v>
      </c>
      <c r="B146" s="7" t="s">
        <v>12</v>
      </c>
      <c r="C146" s="7" t="s">
        <v>9</v>
      </c>
      <c r="D146" s="7" t="s">
        <v>10</v>
      </c>
      <c r="E146" s="7" t="s">
        <v>11</v>
      </c>
      <c r="F146" s="8">
        <v>6.0</v>
      </c>
    </row>
    <row r="147" ht="15.75" customHeight="1">
      <c r="A147" s="5" t="s">
        <v>119</v>
      </c>
      <c r="B147" s="5" t="s">
        <v>12</v>
      </c>
      <c r="C147" s="5" t="s">
        <v>16</v>
      </c>
      <c r="D147" s="5" t="s">
        <v>110</v>
      </c>
      <c r="E147" s="5" t="s">
        <v>37</v>
      </c>
      <c r="F147" s="6">
        <v>-10.0</v>
      </c>
    </row>
    <row r="148" ht="15.75" customHeight="1">
      <c r="A148" s="7" t="s">
        <v>120</v>
      </c>
      <c r="B148" s="7" t="s">
        <v>8</v>
      </c>
      <c r="C148" s="7" t="s">
        <v>16</v>
      </c>
      <c r="D148" s="7" t="s">
        <v>26</v>
      </c>
      <c r="E148" s="7" t="s">
        <v>27</v>
      </c>
      <c r="F148" s="8">
        <v>-5.0</v>
      </c>
    </row>
    <row r="149" ht="15.75" customHeight="1">
      <c r="A149" s="5" t="s">
        <v>121</v>
      </c>
      <c r="B149" s="5" t="s">
        <v>8</v>
      </c>
      <c r="C149" s="5" t="s">
        <v>9</v>
      </c>
      <c r="D149" s="5" t="s">
        <v>122</v>
      </c>
      <c r="E149" s="5" t="s">
        <v>11</v>
      </c>
      <c r="F149" s="6">
        <v>50.0</v>
      </c>
    </row>
    <row r="150" ht="15.75" customHeight="1">
      <c r="A150" s="7" t="s">
        <v>121</v>
      </c>
      <c r="B150" s="7" t="s">
        <v>12</v>
      </c>
      <c r="C150" s="7" t="s">
        <v>16</v>
      </c>
      <c r="D150" s="7" t="s">
        <v>123</v>
      </c>
      <c r="E150" s="7" t="s">
        <v>49</v>
      </c>
      <c r="F150" s="8">
        <v>-50.0</v>
      </c>
    </row>
    <row r="151" ht="15.75" customHeight="1">
      <c r="A151" s="5" t="s">
        <v>121</v>
      </c>
      <c r="B151" s="5" t="s">
        <v>12</v>
      </c>
      <c r="C151" s="5" t="s">
        <v>9</v>
      </c>
      <c r="D151" s="5" t="s">
        <v>10</v>
      </c>
      <c r="E151" s="5" t="s">
        <v>11</v>
      </c>
      <c r="F151" s="6">
        <v>100.0</v>
      </c>
    </row>
    <row r="152" ht="15.75" customHeight="1">
      <c r="A152" s="7" t="s">
        <v>121</v>
      </c>
      <c r="B152" s="7" t="s">
        <v>12</v>
      </c>
      <c r="C152" s="7" t="s">
        <v>16</v>
      </c>
      <c r="D152" s="7" t="s">
        <v>110</v>
      </c>
      <c r="E152" s="7" t="s">
        <v>37</v>
      </c>
      <c r="F152" s="8">
        <v>-10.0</v>
      </c>
    </row>
    <row r="153" ht="15.75" customHeight="1">
      <c r="A153" s="5" t="s">
        <v>124</v>
      </c>
      <c r="B153" s="5" t="s">
        <v>8</v>
      </c>
      <c r="C153" s="5" t="s">
        <v>16</v>
      </c>
      <c r="D153" s="5" t="s">
        <v>22</v>
      </c>
      <c r="E153" s="5" t="s">
        <v>23</v>
      </c>
      <c r="F153" s="6">
        <v>-20.0</v>
      </c>
    </row>
    <row r="154" ht="15.75" customHeight="1">
      <c r="A154" s="7" t="s">
        <v>124</v>
      </c>
      <c r="B154" s="7" t="s">
        <v>12</v>
      </c>
      <c r="C154" s="7" t="s">
        <v>9</v>
      </c>
      <c r="D154" s="7" t="s">
        <v>30</v>
      </c>
      <c r="E154" s="7" t="s">
        <v>11</v>
      </c>
      <c r="F154" s="8">
        <v>20.0</v>
      </c>
    </row>
    <row r="155" ht="15.75" customHeight="1">
      <c r="A155" s="5" t="s">
        <v>124</v>
      </c>
      <c r="B155" s="5" t="s">
        <v>12</v>
      </c>
      <c r="C155" s="5" t="s">
        <v>16</v>
      </c>
      <c r="D155" s="5" t="s">
        <v>69</v>
      </c>
      <c r="E155" s="5" t="s">
        <v>63</v>
      </c>
      <c r="F155" s="6">
        <v>-6.67</v>
      </c>
    </row>
    <row r="156" ht="15.75" customHeight="1">
      <c r="A156" s="7" t="s">
        <v>125</v>
      </c>
      <c r="B156" s="7" t="s">
        <v>12</v>
      </c>
      <c r="C156" s="7" t="s">
        <v>16</v>
      </c>
      <c r="D156" s="7" t="s">
        <v>126</v>
      </c>
      <c r="E156" s="7" t="s">
        <v>37</v>
      </c>
      <c r="F156" s="8">
        <v>-7.94</v>
      </c>
    </row>
    <row r="157" ht="15.75" customHeight="1">
      <c r="A157" s="5" t="s">
        <v>125</v>
      </c>
      <c r="B157" s="5" t="s">
        <v>12</v>
      </c>
      <c r="C157" s="5" t="s">
        <v>16</v>
      </c>
      <c r="D157" s="5" t="s">
        <v>127</v>
      </c>
      <c r="E157" s="5" t="s">
        <v>46</v>
      </c>
      <c r="F157" s="6">
        <v>-27.54</v>
      </c>
    </row>
    <row r="158" ht="15.75" customHeight="1">
      <c r="A158" s="7" t="s">
        <v>125</v>
      </c>
      <c r="B158" s="7" t="s">
        <v>12</v>
      </c>
      <c r="C158" s="7" t="s">
        <v>16</v>
      </c>
      <c r="D158" s="7" t="s">
        <v>128</v>
      </c>
      <c r="E158" s="7" t="s">
        <v>129</v>
      </c>
      <c r="F158" s="8">
        <v>-4.23</v>
      </c>
    </row>
    <row r="159" ht="15.75" customHeight="1">
      <c r="A159" s="5" t="s">
        <v>130</v>
      </c>
      <c r="B159" s="5" t="s">
        <v>8</v>
      </c>
      <c r="C159" s="5" t="s">
        <v>16</v>
      </c>
      <c r="D159" s="5" t="s">
        <v>26</v>
      </c>
      <c r="E159" s="5" t="s">
        <v>27</v>
      </c>
      <c r="F159" s="6">
        <v>-5.0</v>
      </c>
    </row>
    <row r="160" ht="15.75" customHeight="1">
      <c r="A160" s="7" t="s">
        <v>131</v>
      </c>
      <c r="B160" s="7" t="s">
        <v>8</v>
      </c>
      <c r="C160" s="7" t="s">
        <v>16</v>
      </c>
      <c r="D160" s="7" t="s">
        <v>22</v>
      </c>
      <c r="E160" s="7" t="s">
        <v>23</v>
      </c>
      <c r="F160" s="8">
        <v>-20.0</v>
      </c>
    </row>
    <row r="161" ht="15.75" customHeight="1">
      <c r="A161" s="5" t="s">
        <v>131</v>
      </c>
      <c r="B161" s="5" t="s">
        <v>12</v>
      </c>
      <c r="C161" s="5" t="s">
        <v>9</v>
      </c>
      <c r="D161" s="5" t="s">
        <v>30</v>
      </c>
      <c r="E161" s="5" t="s">
        <v>11</v>
      </c>
      <c r="F161" s="6">
        <v>20.0</v>
      </c>
    </row>
    <row r="162" ht="15.75" customHeight="1">
      <c r="A162" s="7" t="s">
        <v>131</v>
      </c>
      <c r="B162" s="7" t="s">
        <v>12</v>
      </c>
      <c r="C162" s="7" t="s">
        <v>16</v>
      </c>
      <c r="D162" s="7" t="s">
        <v>69</v>
      </c>
      <c r="E162" s="7" t="s">
        <v>63</v>
      </c>
      <c r="F162" s="8">
        <v>-12.47</v>
      </c>
    </row>
    <row r="163" ht="15.75" customHeight="1">
      <c r="A163" s="5" t="s">
        <v>131</v>
      </c>
      <c r="B163" s="5" t="s">
        <v>12</v>
      </c>
      <c r="C163" s="5" t="s">
        <v>16</v>
      </c>
      <c r="D163" s="5" t="s">
        <v>132</v>
      </c>
      <c r="E163" s="5" t="s">
        <v>46</v>
      </c>
      <c r="F163" s="6">
        <v>-6.14</v>
      </c>
    </row>
    <row r="164" ht="15.75" customHeight="1">
      <c r="A164" s="7" t="s">
        <v>133</v>
      </c>
      <c r="B164" s="7" t="s">
        <v>12</v>
      </c>
      <c r="C164" s="7" t="s">
        <v>9</v>
      </c>
      <c r="D164" s="7" t="s">
        <v>134</v>
      </c>
      <c r="E164" s="7" t="s">
        <v>135</v>
      </c>
      <c r="F164" s="8">
        <v>19.0</v>
      </c>
    </row>
    <row r="165" ht="15.75" customHeight="1">
      <c r="A165" s="5" t="s">
        <v>133</v>
      </c>
      <c r="B165" s="5" t="s">
        <v>12</v>
      </c>
      <c r="C165" s="5" t="s">
        <v>16</v>
      </c>
      <c r="D165" s="5" t="s">
        <v>56</v>
      </c>
      <c r="E165" s="5" t="s">
        <v>27</v>
      </c>
      <c r="F165" s="6">
        <v>-3.0</v>
      </c>
    </row>
    <row r="166" ht="15.75" customHeight="1">
      <c r="A166" s="7" t="s">
        <v>133</v>
      </c>
      <c r="B166" s="7" t="s">
        <v>12</v>
      </c>
      <c r="C166" s="7" t="s">
        <v>16</v>
      </c>
      <c r="D166" s="7" t="s">
        <v>39</v>
      </c>
      <c r="E166" s="7" t="s">
        <v>40</v>
      </c>
      <c r="F166" s="8">
        <v>-0.18</v>
      </c>
    </row>
    <row r="167" ht="15.75" customHeight="1">
      <c r="A167" s="5" t="s">
        <v>136</v>
      </c>
      <c r="B167" s="5" t="s">
        <v>12</v>
      </c>
      <c r="C167" s="5" t="s">
        <v>16</v>
      </c>
      <c r="D167" s="5" t="s">
        <v>62</v>
      </c>
      <c r="E167" s="5" t="s">
        <v>63</v>
      </c>
      <c r="F167" s="6">
        <v>-3.93</v>
      </c>
    </row>
    <row r="168" ht="15.75" customHeight="1">
      <c r="A168" s="7" t="s">
        <v>136</v>
      </c>
      <c r="B168" s="7" t="s">
        <v>12</v>
      </c>
      <c r="C168" s="7" t="s">
        <v>16</v>
      </c>
      <c r="D168" s="7" t="s">
        <v>69</v>
      </c>
      <c r="E168" s="7" t="s">
        <v>63</v>
      </c>
      <c r="F168" s="8">
        <v>-19.71</v>
      </c>
    </row>
    <row r="169" ht="15.75" customHeight="1">
      <c r="A169" s="5" t="s">
        <v>136</v>
      </c>
      <c r="B169" s="5" t="s">
        <v>12</v>
      </c>
      <c r="C169" s="5" t="s">
        <v>16</v>
      </c>
      <c r="D169" s="5" t="s">
        <v>137</v>
      </c>
      <c r="E169" s="5" t="s">
        <v>63</v>
      </c>
      <c r="F169" s="6">
        <v>-7.11</v>
      </c>
    </row>
    <row r="170" ht="15.75" customHeight="1">
      <c r="A170" s="7" t="s">
        <v>138</v>
      </c>
      <c r="B170" s="7" t="s">
        <v>8</v>
      </c>
      <c r="C170" s="7" t="s">
        <v>16</v>
      </c>
      <c r="D170" s="7" t="s">
        <v>26</v>
      </c>
      <c r="E170" s="7" t="s">
        <v>27</v>
      </c>
      <c r="F170" s="8">
        <v>-5.0</v>
      </c>
    </row>
    <row r="171" ht="15.75" customHeight="1">
      <c r="A171" s="9" t="s">
        <v>139</v>
      </c>
      <c r="B171" s="9" t="s">
        <v>12</v>
      </c>
      <c r="C171" s="9" t="s">
        <v>16</v>
      </c>
      <c r="D171" s="9" t="s">
        <v>140</v>
      </c>
      <c r="E171" s="9" t="s">
        <v>37</v>
      </c>
      <c r="F171" s="10">
        <v>-10.0</v>
      </c>
    </row>
    <row r="172" ht="15.75" customHeight="1">
      <c r="E172" s="11" t="s">
        <v>141</v>
      </c>
      <c r="F172" s="12">
        <f>SUM(F3:F171)</f>
        <v>-14.67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6.0"/>
    <col customWidth="1" min="4" max="4" width="50.0"/>
    <col customWidth="1" min="5" max="26" width="8.71"/>
  </cols>
  <sheetData>
    <row r="1" ht="27.75" customHeight="1">
      <c r="A1" s="1" t="s">
        <v>142</v>
      </c>
      <c r="B1" s="2"/>
      <c r="C1" s="2"/>
      <c r="D1" s="3"/>
    </row>
    <row r="2">
      <c r="A2" s="4" t="s">
        <v>5</v>
      </c>
      <c r="B2" s="4" t="s">
        <v>143</v>
      </c>
      <c r="C2" s="4" t="s">
        <v>144</v>
      </c>
      <c r="D2" s="4" t="s">
        <v>145</v>
      </c>
    </row>
    <row r="3">
      <c r="A3" s="13" t="s">
        <v>29</v>
      </c>
      <c r="B3" s="14">
        <v>4.0</v>
      </c>
      <c r="C3" s="15">
        <v>20.0</v>
      </c>
      <c r="D3" s="16" t="s">
        <v>146</v>
      </c>
    </row>
    <row r="4">
      <c r="A4" s="13" t="s">
        <v>25</v>
      </c>
      <c r="B4" s="14">
        <v>2.0</v>
      </c>
      <c r="C4" s="15">
        <v>0.02</v>
      </c>
      <c r="D4" s="16" t="s">
        <v>147</v>
      </c>
    </row>
    <row r="5">
      <c r="A5" s="13" t="s">
        <v>11</v>
      </c>
      <c r="B5" s="14">
        <v>36.0</v>
      </c>
      <c r="C5" s="15">
        <v>5483.0</v>
      </c>
      <c r="D5" s="16" t="s">
        <v>148</v>
      </c>
    </row>
    <row r="6">
      <c r="A6" s="13" t="s">
        <v>149</v>
      </c>
      <c r="B6" s="14">
        <v>2.0</v>
      </c>
      <c r="C6" s="15">
        <v>1145.2</v>
      </c>
      <c r="D6" s="16" t="s">
        <v>150</v>
      </c>
    </row>
    <row r="7">
      <c r="A7" s="13" t="s">
        <v>92</v>
      </c>
      <c r="B7" s="14">
        <v>2.0</v>
      </c>
      <c r="C7" s="15">
        <v>28.7</v>
      </c>
      <c r="D7" s="16" t="s">
        <v>151</v>
      </c>
    </row>
    <row r="8">
      <c r="A8" s="17" t="s">
        <v>33</v>
      </c>
      <c r="B8" s="18">
        <v>3.0</v>
      </c>
      <c r="C8" s="19">
        <v>-410.55</v>
      </c>
      <c r="D8" s="20" t="s">
        <v>152</v>
      </c>
    </row>
    <row r="9">
      <c r="A9" s="17" t="s">
        <v>27</v>
      </c>
      <c r="B9" s="18">
        <v>18.0</v>
      </c>
      <c r="C9" s="19">
        <v>-104.25</v>
      </c>
      <c r="D9" s="20" t="s">
        <v>153</v>
      </c>
    </row>
    <row r="10">
      <c r="A10" s="17" t="s">
        <v>58</v>
      </c>
      <c r="B10" s="18">
        <v>5.0</v>
      </c>
      <c r="C10" s="19">
        <v>-273.25</v>
      </c>
      <c r="D10" s="20" t="s">
        <v>154</v>
      </c>
    </row>
    <row r="11">
      <c r="A11" s="17" t="s">
        <v>43</v>
      </c>
      <c r="B11" s="18">
        <v>2.0</v>
      </c>
      <c r="C11" s="19">
        <v>-2661.64</v>
      </c>
      <c r="D11" s="20" t="s">
        <v>155</v>
      </c>
    </row>
    <row r="12">
      <c r="A12" s="17" t="s">
        <v>156</v>
      </c>
      <c r="B12" s="18">
        <v>2.0</v>
      </c>
      <c r="C12" s="19">
        <v>-1145.2</v>
      </c>
      <c r="D12" s="20" t="s">
        <v>157</v>
      </c>
    </row>
    <row r="13">
      <c r="A13" s="17" t="s">
        <v>18</v>
      </c>
      <c r="B13" s="18">
        <v>2.0</v>
      </c>
      <c r="C13" s="19">
        <v>-248.0</v>
      </c>
      <c r="D13" s="20" t="s">
        <v>158</v>
      </c>
    </row>
    <row r="14">
      <c r="A14" s="17" t="s">
        <v>129</v>
      </c>
      <c r="B14" s="18">
        <v>1.0</v>
      </c>
      <c r="C14" s="19">
        <v>-4.23</v>
      </c>
      <c r="D14" s="20" t="s">
        <v>159</v>
      </c>
    </row>
    <row r="15">
      <c r="A15" s="17" t="s">
        <v>46</v>
      </c>
      <c r="B15" s="18">
        <v>7.0</v>
      </c>
      <c r="C15" s="19">
        <v>-793.47</v>
      </c>
      <c r="D15" s="20" t="s">
        <v>160</v>
      </c>
    </row>
    <row r="16">
      <c r="A16" s="17" t="s">
        <v>21</v>
      </c>
      <c r="B16" s="18">
        <v>12.0</v>
      </c>
      <c r="C16" s="19">
        <v>4060.0</v>
      </c>
      <c r="D16" s="20" t="s">
        <v>161</v>
      </c>
    </row>
    <row r="17">
      <c r="A17" s="17" t="s">
        <v>72</v>
      </c>
      <c r="B17" s="18">
        <v>1.0</v>
      </c>
      <c r="C17" s="19">
        <v>-29.68</v>
      </c>
      <c r="D17" s="20" t="s">
        <v>162</v>
      </c>
    </row>
    <row r="18">
      <c r="A18" s="17" t="s">
        <v>63</v>
      </c>
      <c r="B18" s="18">
        <v>27.0</v>
      </c>
      <c r="C18" s="19">
        <v>-461.91</v>
      </c>
      <c r="D18" s="20" t="s">
        <v>163</v>
      </c>
    </row>
    <row r="19">
      <c r="A19" s="17" t="s">
        <v>37</v>
      </c>
      <c r="B19" s="18">
        <v>6.0</v>
      </c>
      <c r="C19" s="19">
        <v>-106.44</v>
      </c>
      <c r="D19" s="20" t="s">
        <v>160</v>
      </c>
    </row>
    <row r="20">
      <c r="A20" s="17" t="s">
        <v>40</v>
      </c>
      <c r="B20" s="18">
        <v>7.0</v>
      </c>
      <c r="C20" s="19">
        <v>-1.1</v>
      </c>
      <c r="D20" s="20" t="s">
        <v>164</v>
      </c>
    </row>
    <row r="21" ht="15.75" customHeight="1">
      <c r="A21" s="17" t="s">
        <v>49</v>
      </c>
      <c r="B21" s="18">
        <v>2.0</v>
      </c>
      <c r="C21" s="19">
        <v>-71.87</v>
      </c>
      <c r="D21" s="20" t="s">
        <v>165</v>
      </c>
    </row>
    <row r="22" ht="15.75" customHeight="1">
      <c r="A22" s="21" t="s">
        <v>23</v>
      </c>
      <c r="B22" s="22">
        <v>27.0</v>
      </c>
      <c r="C22" s="23">
        <v>-4430.0</v>
      </c>
      <c r="D22" s="24" t="s">
        <v>166</v>
      </c>
    </row>
    <row r="23" ht="15.75" customHeight="1">
      <c r="A23" s="25" t="s">
        <v>167</v>
      </c>
      <c r="C23" s="26">
        <v>10736.92</v>
      </c>
    </row>
    <row r="24" ht="15.75" customHeight="1">
      <c r="A24" s="25" t="s">
        <v>168</v>
      </c>
      <c r="C24" s="26">
        <v>-6311.59</v>
      </c>
    </row>
    <row r="25" ht="15.75" customHeight="1">
      <c r="A25" s="25" t="s">
        <v>169</v>
      </c>
      <c r="C25" s="26">
        <v>4425.33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6.0"/>
    <col customWidth="1" min="2" max="14" width="12.0"/>
    <col customWidth="1" min="15" max="26" width="8.71"/>
  </cols>
  <sheetData>
    <row r="1" ht="27.75" customHeight="1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27" t="s">
        <v>5</v>
      </c>
      <c r="B2" s="4" t="s">
        <v>171</v>
      </c>
      <c r="C2" s="4" t="s">
        <v>172</v>
      </c>
      <c r="D2" s="4" t="s">
        <v>173</v>
      </c>
      <c r="E2" s="4" t="s">
        <v>174</v>
      </c>
      <c r="F2" s="4" t="s">
        <v>175</v>
      </c>
      <c r="G2" s="4" t="s">
        <v>176</v>
      </c>
      <c r="H2" s="4" t="s">
        <v>177</v>
      </c>
      <c r="I2" s="4" t="s">
        <v>178</v>
      </c>
      <c r="J2" s="4" t="s">
        <v>179</v>
      </c>
      <c r="K2" s="4" t="s">
        <v>180</v>
      </c>
      <c r="L2" s="4" t="s">
        <v>181</v>
      </c>
      <c r="M2" s="4" t="s">
        <v>182</v>
      </c>
      <c r="N2" s="4" t="s">
        <v>183</v>
      </c>
    </row>
    <row r="3">
      <c r="A3" s="28" t="s">
        <v>29</v>
      </c>
      <c r="B3" s="29"/>
      <c r="C3" s="29"/>
      <c r="D3" s="29">
        <v>5.0</v>
      </c>
      <c r="E3" s="29"/>
      <c r="F3" s="29"/>
      <c r="G3" s="29"/>
      <c r="H3" s="29">
        <v>15.0</v>
      </c>
      <c r="I3" s="29"/>
      <c r="J3" s="29"/>
      <c r="K3" s="29"/>
      <c r="L3" s="29"/>
      <c r="M3" s="29"/>
      <c r="N3" s="23">
        <f t="shared" ref="N3:N21" si="1">SUM(B3:M3)</f>
        <v>20</v>
      </c>
    </row>
    <row r="4">
      <c r="A4" s="28" t="s">
        <v>25</v>
      </c>
      <c r="B4" s="29"/>
      <c r="C4" s="29"/>
      <c r="D4" s="29">
        <v>0.01</v>
      </c>
      <c r="E4" s="29">
        <v>0.01</v>
      </c>
      <c r="F4" s="29"/>
      <c r="G4" s="29"/>
      <c r="H4" s="29"/>
      <c r="I4" s="29"/>
      <c r="J4" s="29"/>
      <c r="K4" s="29"/>
      <c r="L4" s="29"/>
      <c r="M4" s="29"/>
      <c r="N4" s="23">
        <f t="shared" si="1"/>
        <v>0.02</v>
      </c>
    </row>
    <row r="5">
      <c r="A5" s="28" t="s">
        <v>11</v>
      </c>
      <c r="B5" s="29"/>
      <c r="C5" s="29"/>
      <c r="D5" s="29">
        <v>4385.0</v>
      </c>
      <c r="E5" s="29">
        <v>620.0</v>
      </c>
      <c r="F5" s="29">
        <v>122.0</v>
      </c>
      <c r="G5" s="29">
        <v>45.0</v>
      </c>
      <c r="H5" s="29">
        <v>10.0</v>
      </c>
      <c r="I5" s="29">
        <v>45.0</v>
      </c>
      <c r="J5" s="29">
        <v>60.0</v>
      </c>
      <c r="K5" s="29">
        <v>6.0</v>
      </c>
      <c r="L5" s="29">
        <v>170.0</v>
      </c>
      <c r="M5" s="29">
        <v>20.0</v>
      </c>
      <c r="N5" s="23">
        <f t="shared" si="1"/>
        <v>5483</v>
      </c>
    </row>
    <row r="6">
      <c r="A6" s="28" t="s">
        <v>184</v>
      </c>
      <c r="B6" s="29"/>
      <c r="C6" s="29"/>
      <c r="D6" s="29"/>
      <c r="E6" s="29"/>
      <c r="F6" s="29">
        <v>1145.2</v>
      </c>
      <c r="G6" s="29"/>
      <c r="H6" s="29"/>
      <c r="I6" s="29"/>
      <c r="J6" s="29"/>
      <c r="K6" s="29"/>
      <c r="L6" s="29"/>
      <c r="M6" s="29"/>
      <c r="N6" s="23">
        <f t="shared" si="1"/>
        <v>1145.2</v>
      </c>
    </row>
    <row r="7">
      <c r="A7" s="28" t="s">
        <v>92</v>
      </c>
      <c r="B7" s="29"/>
      <c r="C7" s="29"/>
      <c r="D7" s="29"/>
      <c r="E7" s="29"/>
      <c r="F7" s="29"/>
      <c r="G7" s="29">
        <v>9.7</v>
      </c>
      <c r="H7" s="29"/>
      <c r="I7" s="29"/>
      <c r="J7" s="29"/>
      <c r="K7" s="29"/>
      <c r="L7" s="29"/>
      <c r="M7" s="29">
        <v>19.0</v>
      </c>
      <c r="N7" s="23">
        <f t="shared" si="1"/>
        <v>28.7</v>
      </c>
    </row>
    <row r="8">
      <c r="A8" s="17" t="s">
        <v>33</v>
      </c>
      <c r="B8" s="30"/>
      <c r="C8" s="30"/>
      <c r="D8" s="30">
        <v>-410.55</v>
      </c>
      <c r="E8" s="30"/>
      <c r="F8" s="30"/>
      <c r="G8" s="30"/>
      <c r="H8" s="30"/>
      <c r="I8" s="30"/>
      <c r="J8" s="30"/>
      <c r="K8" s="30"/>
      <c r="L8" s="30"/>
      <c r="M8" s="30"/>
      <c r="N8" s="23">
        <f t="shared" si="1"/>
        <v>-410.55</v>
      </c>
    </row>
    <row r="9">
      <c r="A9" s="17" t="s">
        <v>27</v>
      </c>
      <c r="B9" s="30"/>
      <c r="C9" s="30"/>
      <c r="D9" s="30">
        <v>-6.75</v>
      </c>
      <c r="E9" s="30">
        <v>-10.0</v>
      </c>
      <c r="F9" s="30">
        <v>-7.5</v>
      </c>
      <c r="G9" s="30">
        <v>-11.0</v>
      </c>
      <c r="H9" s="30">
        <v>-5.0</v>
      </c>
      <c r="I9" s="30">
        <v>-5.0</v>
      </c>
      <c r="J9" s="30">
        <v>-41.0</v>
      </c>
      <c r="K9" s="30">
        <v>-5.0</v>
      </c>
      <c r="L9" s="30">
        <v>-5.0</v>
      </c>
      <c r="M9" s="30">
        <v>-8.0</v>
      </c>
      <c r="N9" s="23">
        <f t="shared" si="1"/>
        <v>-104.25</v>
      </c>
    </row>
    <row r="10">
      <c r="A10" s="17" t="s">
        <v>58</v>
      </c>
      <c r="B10" s="30"/>
      <c r="C10" s="30"/>
      <c r="D10" s="30"/>
      <c r="E10" s="30">
        <v>-43.25</v>
      </c>
      <c r="F10" s="30">
        <v>-230.0</v>
      </c>
      <c r="G10" s="30"/>
      <c r="H10" s="30"/>
      <c r="I10" s="30"/>
      <c r="J10" s="30"/>
      <c r="K10" s="30"/>
      <c r="L10" s="30"/>
      <c r="M10" s="30"/>
      <c r="N10" s="23">
        <f t="shared" si="1"/>
        <v>-273.25</v>
      </c>
    </row>
    <row r="11">
      <c r="A11" s="17" t="s">
        <v>43</v>
      </c>
      <c r="B11" s="30"/>
      <c r="C11" s="30"/>
      <c r="D11" s="30">
        <v>-2644.7</v>
      </c>
      <c r="E11" s="30">
        <v>-16.94</v>
      </c>
      <c r="F11" s="30"/>
      <c r="G11" s="30"/>
      <c r="H11" s="30"/>
      <c r="I11" s="30"/>
      <c r="J11" s="30"/>
      <c r="K11" s="30"/>
      <c r="L11" s="30"/>
      <c r="M11" s="30"/>
      <c r="N11" s="23">
        <f t="shared" si="1"/>
        <v>-2661.64</v>
      </c>
    </row>
    <row r="12">
      <c r="A12" s="17" t="s">
        <v>185</v>
      </c>
      <c r="B12" s="30"/>
      <c r="C12" s="30"/>
      <c r="D12" s="30"/>
      <c r="E12" s="30"/>
      <c r="F12" s="30">
        <v>-1145.2</v>
      </c>
      <c r="G12" s="30"/>
      <c r="H12" s="30"/>
      <c r="I12" s="30"/>
      <c r="J12" s="30"/>
      <c r="K12" s="30"/>
      <c r="L12" s="30"/>
      <c r="M12" s="30"/>
      <c r="N12" s="23">
        <f t="shared" si="1"/>
        <v>-1145.2</v>
      </c>
    </row>
    <row r="13">
      <c r="A13" s="17" t="s">
        <v>18</v>
      </c>
      <c r="B13" s="30"/>
      <c r="C13" s="30"/>
      <c r="D13" s="30">
        <v>-248.0</v>
      </c>
      <c r="E13" s="30"/>
      <c r="F13" s="30"/>
      <c r="G13" s="30"/>
      <c r="H13" s="30"/>
      <c r="I13" s="30"/>
      <c r="J13" s="30"/>
      <c r="K13" s="30"/>
      <c r="L13" s="30"/>
      <c r="M13" s="30"/>
      <c r="N13" s="23">
        <f t="shared" si="1"/>
        <v>-248</v>
      </c>
    </row>
    <row r="14">
      <c r="A14" s="17" t="s">
        <v>129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>
        <v>-4.23</v>
      </c>
      <c r="M14" s="30"/>
      <c r="N14" s="23">
        <f t="shared" si="1"/>
        <v>-4.23</v>
      </c>
    </row>
    <row r="15">
      <c r="A15" s="17" t="s">
        <v>46</v>
      </c>
      <c r="B15" s="30"/>
      <c r="C15" s="30"/>
      <c r="D15" s="30">
        <v>-261.8</v>
      </c>
      <c r="E15" s="30">
        <v>-497.99</v>
      </c>
      <c r="F15" s="30"/>
      <c r="G15" s="30"/>
      <c r="H15" s="30"/>
      <c r="I15" s="30"/>
      <c r="J15" s="30"/>
      <c r="K15" s="30"/>
      <c r="L15" s="30">
        <v>-27.54</v>
      </c>
      <c r="M15" s="30">
        <v>-6.14</v>
      </c>
      <c r="N15" s="23">
        <f t="shared" si="1"/>
        <v>-793.47</v>
      </c>
    </row>
    <row r="16">
      <c r="A16" s="17" t="s">
        <v>21</v>
      </c>
      <c r="B16" s="30"/>
      <c r="C16" s="30"/>
      <c r="D16" s="30">
        <v>3580.0</v>
      </c>
      <c r="E16" s="30">
        <v>200.0</v>
      </c>
      <c r="F16" s="30">
        <v>260.0</v>
      </c>
      <c r="G16" s="30"/>
      <c r="H16" s="30"/>
      <c r="I16" s="30"/>
      <c r="J16" s="30">
        <v>20.0</v>
      </c>
      <c r="K16" s="30"/>
      <c r="L16" s="30"/>
      <c r="M16" s="30"/>
      <c r="N16" s="23">
        <f t="shared" si="1"/>
        <v>4060</v>
      </c>
    </row>
    <row r="17">
      <c r="A17" s="17" t="s">
        <v>72</v>
      </c>
      <c r="B17" s="30"/>
      <c r="C17" s="30"/>
      <c r="D17" s="30"/>
      <c r="E17" s="30">
        <v>-29.68</v>
      </c>
      <c r="F17" s="30"/>
      <c r="G17" s="30"/>
      <c r="H17" s="30"/>
      <c r="I17" s="30"/>
      <c r="J17" s="30"/>
      <c r="K17" s="30"/>
      <c r="L17" s="30"/>
      <c r="M17" s="30"/>
      <c r="N17" s="23">
        <f t="shared" si="1"/>
        <v>-29.68</v>
      </c>
    </row>
    <row r="18">
      <c r="A18" s="17" t="s">
        <v>63</v>
      </c>
      <c r="B18" s="30"/>
      <c r="C18" s="30"/>
      <c r="D18" s="30"/>
      <c r="E18" s="30">
        <v>-261.26</v>
      </c>
      <c r="F18" s="30">
        <v>-76.78</v>
      </c>
      <c r="G18" s="30">
        <v>-47.55</v>
      </c>
      <c r="H18" s="30">
        <v>-11.46</v>
      </c>
      <c r="I18" s="30">
        <v>-14.97</v>
      </c>
      <c r="J18" s="30"/>
      <c r="K18" s="30"/>
      <c r="L18" s="30">
        <v>-6.67</v>
      </c>
      <c r="M18" s="30">
        <v>-43.22</v>
      </c>
      <c r="N18" s="23">
        <f t="shared" si="1"/>
        <v>-461.91</v>
      </c>
    </row>
    <row r="19">
      <c r="A19" s="17" t="s">
        <v>37</v>
      </c>
      <c r="B19" s="30"/>
      <c r="C19" s="30"/>
      <c r="D19" s="30">
        <v>-58.5</v>
      </c>
      <c r="E19" s="30"/>
      <c r="F19" s="30"/>
      <c r="G19" s="30"/>
      <c r="H19" s="30"/>
      <c r="I19" s="30">
        <v>-10.0</v>
      </c>
      <c r="J19" s="30">
        <v>-10.0</v>
      </c>
      <c r="K19" s="30">
        <v>-10.0</v>
      </c>
      <c r="L19" s="30">
        <v>-17.94</v>
      </c>
      <c r="M19" s="30"/>
      <c r="N19" s="23">
        <f t="shared" si="1"/>
        <v>-106.44</v>
      </c>
    </row>
    <row r="20">
      <c r="A20" s="17" t="s">
        <v>40</v>
      </c>
      <c r="B20" s="30"/>
      <c r="C20" s="30"/>
      <c r="D20" s="30">
        <v>-0.11</v>
      </c>
      <c r="E20" s="30">
        <v>-0.3</v>
      </c>
      <c r="F20" s="30">
        <v>-0.15</v>
      </c>
      <c r="G20" s="30">
        <v>-0.36</v>
      </c>
      <c r="H20" s="30"/>
      <c r="I20" s="30"/>
      <c r="J20" s="30"/>
      <c r="K20" s="30"/>
      <c r="L20" s="30"/>
      <c r="M20" s="30">
        <v>-0.18</v>
      </c>
      <c r="N20" s="23">
        <f t="shared" si="1"/>
        <v>-1.1</v>
      </c>
    </row>
    <row r="21" ht="15.75" customHeight="1">
      <c r="A21" s="17" t="s">
        <v>49</v>
      </c>
      <c r="B21" s="30"/>
      <c r="C21" s="30"/>
      <c r="D21" s="30">
        <v>-21.87</v>
      </c>
      <c r="E21" s="30"/>
      <c r="F21" s="30"/>
      <c r="G21" s="30"/>
      <c r="H21" s="30"/>
      <c r="I21" s="30"/>
      <c r="J21" s="30"/>
      <c r="K21" s="30"/>
      <c r="L21" s="30">
        <v>-50.0</v>
      </c>
      <c r="M21" s="30"/>
      <c r="N21" s="23">
        <f t="shared" si="1"/>
        <v>-71.87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52.0"/>
    <col customWidth="1" min="3" max="3" width="16.0"/>
    <col customWidth="1" min="4" max="4" width="22.0"/>
    <col customWidth="1" min="5" max="6" width="14.0"/>
    <col customWidth="1" min="7" max="7" width="28.0"/>
    <col customWidth="1" min="8" max="8" width="22.0"/>
    <col customWidth="1" min="9" max="9" width="52.0"/>
    <col customWidth="1" min="10" max="26" width="8.71"/>
  </cols>
  <sheetData>
    <row r="1" ht="27.75" customHeight="1">
      <c r="A1" s="1" t="s">
        <v>186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31" t="s">
        <v>187</v>
      </c>
      <c r="B2" s="31" t="s">
        <v>188</v>
      </c>
      <c r="C2" s="31" t="s">
        <v>189</v>
      </c>
      <c r="D2" s="31" t="s">
        <v>190</v>
      </c>
      <c r="E2" s="31" t="s">
        <v>191</v>
      </c>
      <c r="F2" s="31" t="s">
        <v>192</v>
      </c>
      <c r="G2" s="31" t="s">
        <v>193</v>
      </c>
      <c r="H2" s="31" t="s">
        <v>194</v>
      </c>
      <c r="I2" s="31" t="s">
        <v>145</v>
      </c>
    </row>
    <row r="3">
      <c r="A3" s="32" t="s">
        <v>195</v>
      </c>
      <c r="B3" s="33" t="s">
        <v>196</v>
      </c>
      <c r="C3" s="34">
        <v>45744.0</v>
      </c>
      <c r="D3" s="34">
        <v>45778.0</v>
      </c>
      <c r="E3" s="35">
        <v>2661.64</v>
      </c>
      <c r="F3" s="36" t="s">
        <v>197</v>
      </c>
      <c r="G3" s="32" t="s">
        <v>198</v>
      </c>
      <c r="H3" s="36" t="s">
        <v>199</v>
      </c>
      <c r="I3" s="33" t="s">
        <v>200</v>
      </c>
    </row>
    <row r="4">
      <c r="A4" s="37" t="s">
        <v>201</v>
      </c>
      <c r="B4" s="38" t="s">
        <v>202</v>
      </c>
      <c r="C4" s="34">
        <v>45745.0</v>
      </c>
      <c r="D4" s="34">
        <v>45782.0</v>
      </c>
      <c r="E4" s="39">
        <v>154.85</v>
      </c>
      <c r="F4" s="40" t="s">
        <v>197</v>
      </c>
      <c r="G4" s="37" t="s">
        <v>198</v>
      </c>
      <c r="H4" s="40" t="s">
        <v>203</v>
      </c>
      <c r="I4" s="38" t="s">
        <v>204</v>
      </c>
    </row>
    <row r="5">
      <c r="A5" s="32" t="s">
        <v>205</v>
      </c>
      <c r="B5" s="33" t="s">
        <v>206</v>
      </c>
      <c r="C5" s="34">
        <v>45746.0</v>
      </c>
      <c r="D5" s="34">
        <v>45778.0</v>
      </c>
      <c r="E5" s="35">
        <v>236.36</v>
      </c>
      <c r="F5" s="36" t="s">
        <v>197</v>
      </c>
      <c r="G5" s="32" t="s">
        <v>198</v>
      </c>
      <c r="H5" s="36" t="s">
        <v>199</v>
      </c>
      <c r="I5" s="33" t="s">
        <v>200</v>
      </c>
    </row>
    <row r="6">
      <c r="A6" s="37" t="s">
        <v>207</v>
      </c>
      <c r="B6" s="38" t="s">
        <v>208</v>
      </c>
      <c r="C6" s="34">
        <v>45747.0</v>
      </c>
      <c r="D6" s="34">
        <v>45783.0</v>
      </c>
      <c r="E6" s="39">
        <v>85.99</v>
      </c>
      <c r="F6" s="40" t="s">
        <v>197</v>
      </c>
      <c r="G6" s="37" t="s">
        <v>198</v>
      </c>
      <c r="H6" s="40" t="s">
        <v>203</v>
      </c>
      <c r="I6" s="38" t="s">
        <v>204</v>
      </c>
    </row>
    <row r="7">
      <c r="D7" s="41" t="s">
        <v>209</v>
      </c>
      <c r="E7" s="42">
        <f>SUM(E3:E6)</f>
        <v>3138.84</v>
      </c>
    </row>
    <row r="9" ht="30.0" customHeight="1">
      <c r="A9" s="43" t="s">
        <v>210</v>
      </c>
      <c r="B9" s="2"/>
      <c r="C9" s="2"/>
      <c r="D9" s="2"/>
      <c r="E9" s="2"/>
      <c r="F9" s="2"/>
      <c r="G9" s="2"/>
      <c r="H9" s="2"/>
      <c r="I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9:I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55.0"/>
    <col customWidth="1" min="4" max="4" width="18.0"/>
    <col customWidth="1" min="5" max="5" width="30.0"/>
    <col customWidth="1" min="6" max="6" width="14.0"/>
    <col customWidth="1" min="7" max="7" width="45.0"/>
    <col customWidth="1" min="8" max="26" width="8.71"/>
  </cols>
  <sheetData>
    <row r="1" ht="27.75" customHeight="1">
      <c r="A1" s="1" t="s">
        <v>211</v>
      </c>
      <c r="B1" s="2"/>
      <c r="C1" s="2"/>
      <c r="D1" s="2"/>
      <c r="E1" s="2"/>
      <c r="F1" s="2"/>
      <c r="G1" s="3"/>
    </row>
    <row r="2" ht="30.0" customHeight="1">
      <c r="A2" s="31" t="s">
        <v>1</v>
      </c>
      <c r="B2" s="31" t="s">
        <v>212</v>
      </c>
      <c r="C2" s="31" t="s">
        <v>213</v>
      </c>
      <c r="D2" s="31" t="s">
        <v>214</v>
      </c>
      <c r="E2" s="31" t="s">
        <v>215</v>
      </c>
      <c r="F2" s="31" t="s">
        <v>6</v>
      </c>
      <c r="G2" s="31" t="s">
        <v>145</v>
      </c>
    </row>
    <row r="3">
      <c r="A3" s="44" t="s">
        <v>216</v>
      </c>
      <c r="B3" s="2"/>
      <c r="C3" s="2"/>
      <c r="D3" s="2"/>
      <c r="E3" s="2"/>
      <c r="F3" s="2"/>
      <c r="G3" s="3"/>
    </row>
    <row r="4">
      <c r="A4" s="36" t="s">
        <v>61</v>
      </c>
      <c r="B4" s="32" t="s">
        <v>217</v>
      </c>
      <c r="C4" s="33" t="s">
        <v>218</v>
      </c>
      <c r="D4" s="32" t="s">
        <v>219</v>
      </c>
      <c r="E4" s="32" t="s">
        <v>220</v>
      </c>
      <c r="F4" s="35">
        <v>-27.17</v>
      </c>
      <c r="G4" s="33"/>
    </row>
    <row r="5">
      <c r="A5" s="40" t="s">
        <v>61</v>
      </c>
      <c r="B5" s="37" t="s">
        <v>221</v>
      </c>
      <c r="C5" s="38" t="s">
        <v>218</v>
      </c>
      <c r="D5" s="37" t="s">
        <v>219</v>
      </c>
      <c r="E5" s="37" t="s">
        <v>220</v>
      </c>
      <c r="F5" s="39">
        <v>-17.29</v>
      </c>
      <c r="G5" s="38"/>
    </row>
    <row r="6">
      <c r="A6" s="36" t="s">
        <v>65</v>
      </c>
      <c r="B6" s="32" t="s">
        <v>217</v>
      </c>
      <c r="C6" s="33" t="s">
        <v>218</v>
      </c>
      <c r="D6" s="32" t="s">
        <v>219</v>
      </c>
      <c r="E6" s="32" t="s">
        <v>220</v>
      </c>
      <c r="F6" s="35">
        <v>-40.7</v>
      </c>
      <c r="G6" s="33"/>
    </row>
    <row r="7">
      <c r="A7" s="40" t="s">
        <v>66</v>
      </c>
      <c r="B7" s="37" t="s">
        <v>217</v>
      </c>
      <c r="C7" s="38" t="s">
        <v>218</v>
      </c>
      <c r="D7" s="37" t="s">
        <v>219</v>
      </c>
      <c r="E7" s="37" t="s">
        <v>220</v>
      </c>
      <c r="F7" s="39">
        <v>-32.11</v>
      </c>
      <c r="G7" s="38"/>
    </row>
    <row r="8">
      <c r="A8" s="36" t="s">
        <v>67</v>
      </c>
      <c r="B8" s="32" t="s">
        <v>217</v>
      </c>
      <c r="C8" s="33" t="s">
        <v>218</v>
      </c>
      <c r="D8" s="32" t="s">
        <v>219</v>
      </c>
      <c r="E8" s="32" t="s">
        <v>220</v>
      </c>
      <c r="F8" s="35">
        <v>-17.22</v>
      </c>
      <c r="G8" s="33"/>
    </row>
    <row r="9">
      <c r="A9" s="40" t="s">
        <v>67</v>
      </c>
      <c r="B9" s="37" t="s">
        <v>217</v>
      </c>
      <c r="C9" s="38" t="s">
        <v>218</v>
      </c>
      <c r="D9" s="37" t="s">
        <v>219</v>
      </c>
      <c r="E9" s="37" t="s">
        <v>220</v>
      </c>
      <c r="F9" s="39">
        <v>-4.63</v>
      </c>
      <c r="G9" s="38"/>
    </row>
    <row r="10">
      <c r="A10" s="36" t="s">
        <v>70</v>
      </c>
      <c r="B10" s="32" t="s">
        <v>217</v>
      </c>
      <c r="C10" s="33" t="s">
        <v>218</v>
      </c>
      <c r="D10" s="32" t="s">
        <v>219</v>
      </c>
      <c r="E10" s="32" t="s">
        <v>220</v>
      </c>
      <c r="F10" s="35">
        <v>-40.55</v>
      </c>
      <c r="G10" s="33"/>
    </row>
    <row r="11">
      <c r="A11" s="40" t="s">
        <v>70</v>
      </c>
      <c r="B11" s="37" t="s">
        <v>217</v>
      </c>
      <c r="C11" s="38" t="s">
        <v>218</v>
      </c>
      <c r="D11" s="37" t="s">
        <v>219</v>
      </c>
      <c r="E11" s="37" t="s">
        <v>220</v>
      </c>
      <c r="F11" s="39">
        <v>-1.47</v>
      </c>
      <c r="G11" s="38"/>
    </row>
    <row r="12">
      <c r="A12" s="36" t="s">
        <v>67</v>
      </c>
      <c r="B12" s="32" t="s">
        <v>222</v>
      </c>
      <c r="C12" s="33" t="s">
        <v>218</v>
      </c>
      <c r="D12" s="32" t="s">
        <v>219</v>
      </c>
      <c r="E12" s="32" t="s">
        <v>220</v>
      </c>
      <c r="F12" s="35">
        <v>-30.4</v>
      </c>
      <c r="G12" s="33"/>
    </row>
    <row r="13">
      <c r="A13" s="40" t="s">
        <v>73</v>
      </c>
      <c r="B13" s="37" t="s">
        <v>222</v>
      </c>
      <c r="C13" s="38" t="s">
        <v>218</v>
      </c>
      <c r="D13" s="37" t="s">
        <v>219</v>
      </c>
      <c r="E13" s="37" t="s">
        <v>220</v>
      </c>
      <c r="F13" s="39">
        <v>-49.72</v>
      </c>
      <c r="G13" s="38"/>
    </row>
    <row r="14">
      <c r="A14" s="36" t="s">
        <v>74</v>
      </c>
      <c r="B14" s="32" t="s">
        <v>222</v>
      </c>
      <c r="C14" s="33" t="s">
        <v>218</v>
      </c>
      <c r="D14" s="32" t="s">
        <v>219</v>
      </c>
      <c r="E14" s="32" t="s">
        <v>220</v>
      </c>
      <c r="F14" s="35">
        <v>-59.44</v>
      </c>
      <c r="G14" s="33"/>
    </row>
    <row r="15">
      <c r="A15" s="40" t="s">
        <v>74</v>
      </c>
      <c r="B15" s="37" t="s">
        <v>222</v>
      </c>
      <c r="C15" s="38" t="s">
        <v>218</v>
      </c>
      <c r="D15" s="37" t="s">
        <v>219</v>
      </c>
      <c r="E15" s="37" t="s">
        <v>220</v>
      </c>
      <c r="F15" s="39">
        <v>-14.93</v>
      </c>
      <c r="G15" s="38"/>
    </row>
    <row r="16">
      <c r="A16" s="36" t="s">
        <v>74</v>
      </c>
      <c r="B16" s="32" t="s">
        <v>217</v>
      </c>
      <c r="C16" s="33" t="s">
        <v>218</v>
      </c>
      <c r="D16" s="32" t="s">
        <v>219</v>
      </c>
      <c r="E16" s="32" t="s">
        <v>220</v>
      </c>
      <c r="F16" s="35">
        <v>-2.41</v>
      </c>
      <c r="G16" s="33"/>
    </row>
    <row r="17">
      <c r="A17" s="40" t="s">
        <v>89</v>
      </c>
      <c r="B17" s="37" t="s">
        <v>222</v>
      </c>
      <c r="C17" s="38" t="s">
        <v>218</v>
      </c>
      <c r="D17" s="37" t="s">
        <v>219</v>
      </c>
      <c r="E17" s="37" t="s">
        <v>220</v>
      </c>
      <c r="F17" s="39">
        <v>-7.0</v>
      </c>
      <c r="G17" s="38"/>
    </row>
    <row r="18">
      <c r="A18" s="36" t="s">
        <v>89</v>
      </c>
      <c r="B18" s="32" t="s">
        <v>222</v>
      </c>
      <c r="C18" s="33" t="s">
        <v>218</v>
      </c>
      <c r="D18" s="32" t="s">
        <v>219</v>
      </c>
      <c r="E18" s="32" t="s">
        <v>220</v>
      </c>
      <c r="F18" s="35">
        <v>-21.16</v>
      </c>
      <c r="G18" s="33"/>
    </row>
    <row r="19">
      <c r="A19" s="40" t="s">
        <v>89</v>
      </c>
      <c r="B19" s="37" t="s">
        <v>222</v>
      </c>
      <c r="C19" s="38" t="s">
        <v>218</v>
      </c>
      <c r="D19" s="37" t="s">
        <v>219</v>
      </c>
      <c r="E19" s="37" t="s">
        <v>220</v>
      </c>
      <c r="F19" s="39">
        <v>-11.38</v>
      </c>
      <c r="G19" s="38"/>
    </row>
    <row r="20">
      <c r="A20" s="36" t="s">
        <v>89</v>
      </c>
      <c r="B20" s="32" t="s">
        <v>221</v>
      </c>
      <c r="C20" s="33" t="s">
        <v>218</v>
      </c>
      <c r="D20" s="32" t="s">
        <v>219</v>
      </c>
      <c r="E20" s="32" t="s">
        <v>220</v>
      </c>
      <c r="F20" s="35">
        <v>-2.53</v>
      </c>
      <c r="G20" s="33"/>
    </row>
    <row r="21" ht="15.75" customHeight="1">
      <c r="A21" s="40" t="s">
        <v>93</v>
      </c>
      <c r="B21" s="37" t="s">
        <v>217</v>
      </c>
      <c r="C21" s="38" t="s">
        <v>218</v>
      </c>
      <c r="D21" s="37" t="s">
        <v>219</v>
      </c>
      <c r="E21" s="37" t="s">
        <v>220</v>
      </c>
      <c r="F21" s="39">
        <v>-3.79</v>
      </c>
      <c r="G21" s="38"/>
    </row>
    <row r="22" ht="15.75" customHeight="1">
      <c r="A22" s="36" t="s">
        <v>94</v>
      </c>
      <c r="B22" s="32" t="s">
        <v>217</v>
      </c>
      <c r="C22" s="33" t="s">
        <v>218</v>
      </c>
      <c r="D22" s="32" t="s">
        <v>219</v>
      </c>
      <c r="E22" s="32" t="s">
        <v>220</v>
      </c>
      <c r="F22" s="35">
        <v>-1.69</v>
      </c>
      <c r="G22" s="33"/>
    </row>
    <row r="23" ht="15.75" customHeight="1">
      <c r="A23" s="40" t="s">
        <v>99</v>
      </c>
      <c r="B23" s="37" t="s">
        <v>217</v>
      </c>
      <c r="C23" s="38" t="s">
        <v>218</v>
      </c>
      <c r="D23" s="37" t="s">
        <v>219</v>
      </c>
      <c r="E23" s="37" t="s">
        <v>220</v>
      </c>
      <c r="F23" s="39">
        <v>-11.46</v>
      </c>
      <c r="G23" s="38"/>
    </row>
    <row r="24" ht="15.75" customHeight="1">
      <c r="A24" s="36" t="s">
        <v>106</v>
      </c>
      <c r="B24" s="32" t="s">
        <v>217</v>
      </c>
      <c r="C24" s="33" t="s">
        <v>218</v>
      </c>
      <c r="D24" s="32" t="s">
        <v>219</v>
      </c>
      <c r="E24" s="32" t="s">
        <v>220</v>
      </c>
      <c r="F24" s="35">
        <v>-12.11</v>
      </c>
      <c r="G24" s="33"/>
    </row>
    <row r="25" ht="15.75" customHeight="1">
      <c r="A25" s="40" t="s">
        <v>107</v>
      </c>
      <c r="B25" s="37" t="s">
        <v>217</v>
      </c>
      <c r="C25" s="38" t="s">
        <v>218</v>
      </c>
      <c r="D25" s="37" t="s">
        <v>219</v>
      </c>
      <c r="E25" s="37" t="s">
        <v>220</v>
      </c>
      <c r="F25" s="39">
        <v>-2.86</v>
      </c>
      <c r="G25" s="38"/>
    </row>
    <row r="26" ht="15.75" customHeight="1">
      <c r="A26" s="36" t="s">
        <v>124</v>
      </c>
      <c r="B26" s="32" t="s">
        <v>222</v>
      </c>
      <c r="C26" s="33" t="s">
        <v>218</v>
      </c>
      <c r="D26" s="32" t="s">
        <v>219</v>
      </c>
      <c r="E26" s="32" t="s">
        <v>220</v>
      </c>
      <c r="F26" s="35">
        <v>-6.67</v>
      </c>
      <c r="G26" s="33"/>
    </row>
    <row r="27" ht="15.75" customHeight="1">
      <c r="A27" s="40" t="s">
        <v>131</v>
      </c>
      <c r="B27" s="37" t="s">
        <v>222</v>
      </c>
      <c r="C27" s="38" t="s">
        <v>218</v>
      </c>
      <c r="D27" s="37" t="s">
        <v>219</v>
      </c>
      <c r="E27" s="37" t="s">
        <v>220</v>
      </c>
      <c r="F27" s="39">
        <v>-12.47</v>
      </c>
      <c r="G27" s="38"/>
    </row>
    <row r="28" ht="15.75" customHeight="1">
      <c r="A28" s="36" t="s">
        <v>136</v>
      </c>
      <c r="B28" s="32" t="s">
        <v>217</v>
      </c>
      <c r="C28" s="33" t="s">
        <v>218</v>
      </c>
      <c r="D28" s="32" t="s">
        <v>219</v>
      </c>
      <c r="E28" s="32" t="s">
        <v>220</v>
      </c>
      <c r="F28" s="35">
        <v>-3.93</v>
      </c>
      <c r="G28" s="33"/>
    </row>
    <row r="29" ht="15.75" customHeight="1">
      <c r="A29" s="40" t="s">
        <v>136</v>
      </c>
      <c r="B29" s="37" t="s">
        <v>222</v>
      </c>
      <c r="C29" s="38" t="s">
        <v>218</v>
      </c>
      <c r="D29" s="37" t="s">
        <v>219</v>
      </c>
      <c r="E29" s="37" t="s">
        <v>220</v>
      </c>
      <c r="F29" s="39">
        <v>-19.71</v>
      </c>
      <c r="G29" s="38"/>
    </row>
    <row r="30" ht="15.75" customHeight="1">
      <c r="A30" s="36" t="s">
        <v>136</v>
      </c>
      <c r="B30" s="32" t="s">
        <v>223</v>
      </c>
      <c r="C30" s="33" t="s">
        <v>218</v>
      </c>
      <c r="D30" s="32" t="s">
        <v>219</v>
      </c>
      <c r="E30" s="32" t="s">
        <v>220</v>
      </c>
      <c r="F30" s="35">
        <v>-7.11</v>
      </c>
      <c r="G30" s="33"/>
    </row>
    <row r="31" ht="15.75" customHeight="1">
      <c r="A31" s="44" t="s">
        <v>224</v>
      </c>
      <c r="B31" s="2"/>
      <c r="C31" s="2"/>
      <c r="D31" s="2"/>
      <c r="E31" s="2"/>
      <c r="F31" s="2"/>
      <c r="G31" s="3"/>
    </row>
    <row r="32" ht="15.75" customHeight="1">
      <c r="A32" s="40" t="s">
        <v>53</v>
      </c>
      <c r="B32" s="37" t="s">
        <v>225</v>
      </c>
      <c r="C32" s="38" t="s">
        <v>226</v>
      </c>
      <c r="D32" s="37" t="s">
        <v>219</v>
      </c>
      <c r="E32" s="37" t="s">
        <v>220</v>
      </c>
      <c r="F32" s="39">
        <v>-53.03</v>
      </c>
      <c r="G32" s="38"/>
    </row>
    <row r="33" ht="15.75" customHeight="1">
      <c r="A33" s="36" t="s">
        <v>67</v>
      </c>
      <c r="B33" s="32" t="s">
        <v>227</v>
      </c>
      <c r="C33" s="33" t="s">
        <v>228</v>
      </c>
      <c r="D33" s="32" t="s">
        <v>219</v>
      </c>
      <c r="E33" s="32" t="s">
        <v>220</v>
      </c>
      <c r="F33" s="35">
        <v>-122.61</v>
      </c>
      <c r="G33" s="33" t="s">
        <v>229</v>
      </c>
    </row>
    <row r="34" ht="15.75" customHeight="1">
      <c r="A34" s="40" t="s">
        <v>125</v>
      </c>
      <c r="B34" s="37" t="s">
        <v>230</v>
      </c>
      <c r="C34" s="38" t="s">
        <v>226</v>
      </c>
      <c r="D34" s="37" t="s">
        <v>219</v>
      </c>
      <c r="E34" s="37" t="s">
        <v>220</v>
      </c>
      <c r="F34" s="39">
        <v>-27.54</v>
      </c>
      <c r="G34" s="38"/>
    </row>
    <row r="35" ht="15.75" customHeight="1">
      <c r="A35" s="45" t="s">
        <v>231</v>
      </c>
      <c r="B35" s="46" t="s">
        <v>232</v>
      </c>
      <c r="C35" s="47" t="s">
        <v>233</v>
      </c>
      <c r="D35" s="46" t="s">
        <v>219</v>
      </c>
      <c r="E35" s="46" t="s">
        <v>234</v>
      </c>
      <c r="F35" s="48">
        <v>-26.59</v>
      </c>
      <c r="G35" s="47" t="s">
        <v>235</v>
      </c>
    </row>
    <row r="36" ht="15.75" customHeight="1">
      <c r="A36" s="45" t="s">
        <v>236</v>
      </c>
      <c r="B36" s="46" t="s">
        <v>237</v>
      </c>
      <c r="C36" s="47" t="s">
        <v>238</v>
      </c>
      <c r="D36" s="46" t="s">
        <v>219</v>
      </c>
      <c r="E36" s="46" t="s">
        <v>234</v>
      </c>
      <c r="F36" s="48">
        <v>-14.83</v>
      </c>
      <c r="G36" s="47" t="s">
        <v>235</v>
      </c>
    </row>
    <row r="37" ht="15.75" customHeight="1">
      <c r="A37" s="45" t="s">
        <v>236</v>
      </c>
      <c r="B37" s="46" t="s">
        <v>239</v>
      </c>
      <c r="C37" s="47" t="s">
        <v>240</v>
      </c>
      <c r="D37" s="46" t="s">
        <v>219</v>
      </c>
      <c r="E37" s="46" t="s">
        <v>234</v>
      </c>
      <c r="F37" s="48">
        <v>-70.13</v>
      </c>
      <c r="G37" s="47" t="s">
        <v>235</v>
      </c>
    </row>
    <row r="38" ht="15.75" customHeight="1">
      <c r="A38" s="40" t="s">
        <v>44</v>
      </c>
      <c r="B38" s="37" t="s">
        <v>225</v>
      </c>
      <c r="C38" s="38" t="s">
        <v>241</v>
      </c>
      <c r="D38" s="37" t="s">
        <v>242</v>
      </c>
      <c r="E38" s="37" t="s">
        <v>220</v>
      </c>
      <c r="F38" s="39">
        <v>-106.95</v>
      </c>
      <c r="G38" s="38" t="s">
        <v>243</v>
      </c>
    </row>
    <row r="39" ht="15.75" customHeight="1">
      <c r="A39" s="49" t="s">
        <v>244</v>
      </c>
      <c r="B39" s="50"/>
      <c r="C39" s="50"/>
      <c r="D39" s="50"/>
      <c r="E39" s="51"/>
      <c r="F39" s="42">
        <f>SUM(F4:F37)</f>
        <v>-776.64</v>
      </c>
    </row>
    <row r="40" ht="15.75" customHeight="1"/>
    <row r="41" ht="15.75" customHeight="1">
      <c r="A41" s="52" t="s">
        <v>245</v>
      </c>
      <c r="B41" s="50"/>
      <c r="C41" s="50"/>
      <c r="D41" s="50"/>
      <c r="E41" s="51"/>
      <c r="F41" s="53">
        <f>SUM(F4:F39)</f>
        <v>-1660.23</v>
      </c>
    </row>
    <row r="42" ht="15.75" customHeight="1"/>
    <row r="43" ht="24.75" customHeight="1">
      <c r="A43" s="54" t="s">
        <v>246</v>
      </c>
      <c r="B43" s="2"/>
      <c r="C43" s="2"/>
      <c r="D43" s="2"/>
      <c r="E43" s="2"/>
      <c r="F43" s="2"/>
      <c r="G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3:G3"/>
    <mergeCell ref="A31:G31"/>
    <mergeCell ref="A39:E39"/>
    <mergeCell ref="A41:E41"/>
    <mergeCell ref="A43:G4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42.0"/>
    <col customWidth="1" min="4" max="4" width="30.0"/>
    <col customWidth="1" min="5" max="7" width="14.0"/>
    <col customWidth="1" min="8" max="8" width="35.0"/>
    <col customWidth="1" min="9" max="26" width="8.71"/>
  </cols>
  <sheetData>
    <row r="1" ht="27.75" customHeight="1">
      <c r="A1" s="1" t="s">
        <v>247</v>
      </c>
      <c r="B1" s="2"/>
      <c r="C1" s="2"/>
      <c r="D1" s="2"/>
      <c r="E1" s="2"/>
      <c r="F1" s="2"/>
      <c r="G1" s="2"/>
      <c r="H1" s="3"/>
    </row>
    <row r="2" ht="34.5" customHeight="1">
      <c r="A2" s="31" t="s">
        <v>1</v>
      </c>
      <c r="B2" s="31" t="s">
        <v>248</v>
      </c>
      <c r="C2" s="31" t="s">
        <v>249</v>
      </c>
      <c r="D2" s="31" t="s">
        <v>5</v>
      </c>
      <c r="E2" s="31" t="s">
        <v>250</v>
      </c>
      <c r="F2" s="31" t="s">
        <v>251</v>
      </c>
      <c r="G2" s="31" t="s">
        <v>252</v>
      </c>
      <c r="H2" s="31" t="s">
        <v>145</v>
      </c>
    </row>
    <row r="3">
      <c r="A3" s="55" t="s">
        <v>253</v>
      </c>
      <c r="B3" s="56" t="s">
        <v>254</v>
      </c>
      <c r="C3" s="57" t="s">
        <v>255</v>
      </c>
      <c r="D3" s="56" t="s">
        <v>63</v>
      </c>
      <c r="E3" s="55" t="s">
        <v>256</v>
      </c>
      <c r="F3" s="58">
        <v>18.28</v>
      </c>
      <c r="G3" s="58"/>
      <c r="H3" s="57"/>
    </row>
    <row r="4">
      <c r="A4" s="59" t="s">
        <v>253</v>
      </c>
      <c r="B4" s="60" t="s">
        <v>254</v>
      </c>
      <c r="C4" s="61" t="s">
        <v>257</v>
      </c>
      <c r="D4" s="60" t="s">
        <v>63</v>
      </c>
      <c r="E4" s="59" t="s">
        <v>256</v>
      </c>
      <c r="F4" s="62">
        <v>13.82</v>
      </c>
      <c r="G4" s="62"/>
      <c r="H4" s="61"/>
    </row>
    <row r="5">
      <c r="A5" s="55" t="s">
        <v>253</v>
      </c>
      <c r="B5" s="56" t="s">
        <v>254</v>
      </c>
      <c r="C5" s="57" t="s">
        <v>258</v>
      </c>
      <c r="D5" s="56" t="s">
        <v>40</v>
      </c>
      <c r="E5" s="55" t="s">
        <v>256</v>
      </c>
      <c r="F5" s="58">
        <v>1.93</v>
      </c>
      <c r="G5" s="58"/>
      <c r="H5" s="57"/>
    </row>
    <row r="6">
      <c r="A6" s="59" t="s">
        <v>259</v>
      </c>
      <c r="B6" s="60" t="s">
        <v>254</v>
      </c>
      <c r="C6" s="61" t="s">
        <v>260</v>
      </c>
      <c r="D6" s="60" t="s">
        <v>63</v>
      </c>
      <c r="E6" s="59" t="s">
        <v>256</v>
      </c>
      <c r="F6" s="62">
        <v>20.8</v>
      </c>
      <c r="G6" s="62"/>
      <c r="H6" s="61"/>
    </row>
    <row r="7">
      <c r="A7" s="55" t="s">
        <v>259</v>
      </c>
      <c r="B7" s="56" t="s">
        <v>254</v>
      </c>
      <c r="C7" s="57" t="s">
        <v>261</v>
      </c>
      <c r="D7" s="56" t="s">
        <v>63</v>
      </c>
      <c r="E7" s="55" t="s">
        <v>256</v>
      </c>
      <c r="F7" s="58">
        <v>9.14</v>
      </c>
      <c r="G7" s="58"/>
      <c r="H7" s="57"/>
    </row>
    <row r="8">
      <c r="A8" s="59" t="s">
        <v>259</v>
      </c>
      <c r="B8" s="60" t="s">
        <v>254</v>
      </c>
      <c r="C8" s="61" t="s">
        <v>262</v>
      </c>
      <c r="D8" s="60" t="s">
        <v>63</v>
      </c>
      <c r="E8" s="59" t="s">
        <v>256</v>
      </c>
      <c r="F8" s="62">
        <v>7.64</v>
      </c>
      <c r="G8" s="62"/>
      <c r="H8" s="61"/>
    </row>
    <row r="9">
      <c r="A9" s="55" t="s">
        <v>259</v>
      </c>
      <c r="B9" s="56" t="s">
        <v>254</v>
      </c>
      <c r="C9" s="57" t="s">
        <v>258</v>
      </c>
      <c r="D9" s="56" t="s">
        <v>40</v>
      </c>
      <c r="E9" s="55" t="s">
        <v>256</v>
      </c>
      <c r="F9" s="58">
        <v>1.01</v>
      </c>
      <c r="G9" s="58"/>
      <c r="H9" s="57"/>
    </row>
    <row r="10">
      <c r="A10" s="59" t="s">
        <v>263</v>
      </c>
      <c r="B10" s="60" t="s">
        <v>254</v>
      </c>
      <c r="C10" s="61" t="s">
        <v>264</v>
      </c>
      <c r="D10" s="60" t="s">
        <v>63</v>
      </c>
      <c r="E10" s="59" t="s">
        <v>256</v>
      </c>
      <c r="F10" s="62">
        <v>8.72</v>
      </c>
      <c r="G10" s="62"/>
      <c r="H10" s="61" t="s">
        <v>265</v>
      </c>
    </row>
    <row r="11">
      <c r="A11" s="55" t="s">
        <v>263</v>
      </c>
      <c r="B11" s="56" t="s">
        <v>254</v>
      </c>
      <c r="C11" s="57" t="s">
        <v>266</v>
      </c>
      <c r="D11" s="56" t="s">
        <v>63</v>
      </c>
      <c r="E11" s="55" t="s">
        <v>256</v>
      </c>
      <c r="F11" s="58">
        <v>8.56</v>
      </c>
      <c r="G11" s="58"/>
      <c r="H11" s="57" t="s">
        <v>265</v>
      </c>
    </row>
    <row r="12">
      <c r="A12" s="59" t="s">
        <v>267</v>
      </c>
      <c r="B12" s="60" t="s">
        <v>268</v>
      </c>
      <c r="C12" s="61" t="s">
        <v>269</v>
      </c>
      <c r="D12" s="60" t="s">
        <v>63</v>
      </c>
      <c r="E12" s="59" t="s">
        <v>256</v>
      </c>
      <c r="F12" s="62">
        <v>11.74</v>
      </c>
      <c r="G12" s="62"/>
      <c r="H12" s="61"/>
    </row>
    <row r="13">
      <c r="A13" s="55" t="s">
        <v>267</v>
      </c>
      <c r="B13" s="56" t="s">
        <v>268</v>
      </c>
      <c r="C13" s="57" t="s">
        <v>270</v>
      </c>
      <c r="D13" s="56" t="s">
        <v>63</v>
      </c>
      <c r="E13" s="55" t="s">
        <v>256</v>
      </c>
      <c r="F13" s="58">
        <v>1.5</v>
      </c>
      <c r="G13" s="58"/>
      <c r="H13" s="57"/>
    </row>
    <row r="14">
      <c r="A14" s="63" t="s">
        <v>267</v>
      </c>
      <c r="B14" s="64" t="s">
        <v>268</v>
      </c>
      <c r="C14" s="65" t="s">
        <v>271</v>
      </c>
      <c r="D14" s="64" t="s">
        <v>72</v>
      </c>
      <c r="E14" s="66" t="s">
        <v>272</v>
      </c>
      <c r="F14" s="67"/>
      <c r="G14" s="67">
        <v>16.99</v>
      </c>
      <c r="H14" s="65"/>
    </row>
    <row r="15">
      <c r="A15" s="63" t="s">
        <v>267</v>
      </c>
      <c r="B15" s="64" t="s">
        <v>268</v>
      </c>
      <c r="C15" s="65" t="s">
        <v>273</v>
      </c>
      <c r="D15" s="64" t="s">
        <v>72</v>
      </c>
      <c r="E15" s="66" t="s">
        <v>272</v>
      </c>
      <c r="F15" s="67"/>
      <c r="G15" s="67">
        <v>0.6</v>
      </c>
      <c r="H15" s="65"/>
    </row>
    <row r="16">
      <c r="A16" s="59" t="s">
        <v>274</v>
      </c>
      <c r="B16" s="60" t="s">
        <v>254</v>
      </c>
      <c r="C16" s="61" t="s">
        <v>275</v>
      </c>
      <c r="D16" s="60" t="s">
        <v>63</v>
      </c>
      <c r="E16" s="59" t="s">
        <v>256</v>
      </c>
      <c r="F16" s="62">
        <v>3.94</v>
      </c>
      <c r="G16" s="62"/>
      <c r="H16" s="61"/>
    </row>
    <row r="17">
      <c r="A17" s="55" t="s">
        <v>274</v>
      </c>
      <c r="B17" s="56" t="s">
        <v>254</v>
      </c>
      <c r="C17" s="57" t="s">
        <v>276</v>
      </c>
      <c r="D17" s="56" t="s">
        <v>63</v>
      </c>
      <c r="E17" s="55" t="s">
        <v>256</v>
      </c>
      <c r="F17" s="58">
        <v>8.32</v>
      </c>
      <c r="G17" s="58"/>
      <c r="H17" s="57"/>
    </row>
    <row r="18">
      <c r="A18" s="59" t="s">
        <v>274</v>
      </c>
      <c r="B18" s="60" t="s">
        <v>254</v>
      </c>
      <c r="C18" s="61" t="s">
        <v>277</v>
      </c>
      <c r="D18" s="60" t="s">
        <v>63</v>
      </c>
      <c r="E18" s="59" t="s">
        <v>256</v>
      </c>
      <c r="F18" s="62">
        <v>2.36</v>
      </c>
      <c r="G18" s="62"/>
      <c r="H18" s="61"/>
    </row>
    <row r="19">
      <c r="A19" s="55" t="s">
        <v>274</v>
      </c>
      <c r="B19" s="56" t="s">
        <v>254</v>
      </c>
      <c r="C19" s="57" t="s">
        <v>278</v>
      </c>
      <c r="D19" s="56" t="s">
        <v>63</v>
      </c>
      <c r="E19" s="55" t="s">
        <v>256</v>
      </c>
      <c r="F19" s="58">
        <v>1.98</v>
      </c>
      <c r="G19" s="58"/>
      <c r="H19" s="57"/>
    </row>
    <row r="20">
      <c r="A20" s="59" t="s">
        <v>274</v>
      </c>
      <c r="B20" s="60" t="s">
        <v>254</v>
      </c>
      <c r="C20" s="61" t="s">
        <v>279</v>
      </c>
      <c r="D20" s="60" t="s">
        <v>63</v>
      </c>
      <c r="E20" s="59" t="s">
        <v>256</v>
      </c>
      <c r="F20" s="62">
        <v>0.68</v>
      </c>
      <c r="G20" s="62"/>
      <c r="H20" s="61"/>
    </row>
    <row r="21" ht="15.75" customHeight="1">
      <c r="A21" s="55" t="s">
        <v>274</v>
      </c>
      <c r="B21" s="56" t="s">
        <v>254</v>
      </c>
      <c r="C21" s="57" t="s">
        <v>280</v>
      </c>
      <c r="D21" s="56" t="s">
        <v>63</v>
      </c>
      <c r="E21" s="55" t="s">
        <v>256</v>
      </c>
      <c r="F21" s="58">
        <v>4.55</v>
      </c>
      <c r="G21" s="58"/>
      <c r="H21" s="57"/>
    </row>
    <row r="22" ht="15.75" customHeight="1">
      <c r="A22" s="63" t="s">
        <v>274</v>
      </c>
      <c r="B22" s="64" t="s">
        <v>254</v>
      </c>
      <c r="C22" s="65" t="s">
        <v>281</v>
      </c>
      <c r="D22" s="64" t="s">
        <v>72</v>
      </c>
      <c r="E22" s="66" t="s">
        <v>272</v>
      </c>
      <c r="F22" s="67"/>
      <c r="G22" s="67">
        <v>5.24</v>
      </c>
      <c r="H22" s="65"/>
    </row>
    <row r="23" ht="15.75" customHeight="1">
      <c r="A23" s="63" t="s">
        <v>274</v>
      </c>
      <c r="B23" s="64" t="s">
        <v>254</v>
      </c>
      <c r="C23" s="65" t="s">
        <v>282</v>
      </c>
      <c r="D23" s="64" t="s">
        <v>72</v>
      </c>
      <c r="E23" s="66" t="s">
        <v>272</v>
      </c>
      <c r="F23" s="67"/>
      <c r="G23" s="67">
        <v>1.36</v>
      </c>
      <c r="H23" s="65"/>
    </row>
    <row r="24" ht="15.75" customHeight="1">
      <c r="A24" s="63" t="s">
        <v>274</v>
      </c>
      <c r="B24" s="64" t="s">
        <v>254</v>
      </c>
      <c r="C24" s="65" t="s">
        <v>283</v>
      </c>
      <c r="D24" s="64" t="s">
        <v>72</v>
      </c>
      <c r="E24" s="66" t="s">
        <v>272</v>
      </c>
      <c r="F24" s="67"/>
      <c r="G24" s="67">
        <v>12.46</v>
      </c>
      <c r="H24" s="65"/>
    </row>
    <row r="25" ht="15.75" customHeight="1">
      <c r="A25" s="63" t="s">
        <v>274</v>
      </c>
      <c r="B25" s="64" t="s">
        <v>254</v>
      </c>
      <c r="C25" s="65" t="s">
        <v>284</v>
      </c>
      <c r="D25" s="64" t="s">
        <v>72</v>
      </c>
      <c r="E25" s="66" t="s">
        <v>272</v>
      </c>
      <c r="F25" s="67"/>
      <c r="G25" s="67">
        <v>5.96</v>
      </c>
      <c r="H25" s="65"/>
    </row>
    <row r="26" ht="15.75" customHeight="1">
      <c r="A26" s="59" t="s">
        <v>285</v>
      </c>
      <c r="B26" s="60" t="s">
        <v>254</v>
      </c>
      <c r="C26" s="61" t="s">
        <v>286</v>
      </c>
      <c r="D26" s="60" t="s">
        <v>63</v>
      </c>
      <c r="E26" s="59" t="s">
        <v>256</v>
      </c>
      <c r="F26" s="62">
        <v>8.24</v>
      </c>
      <c r="G26" s="62"/>
      <c r="H26" s="61"/>
    </row>
    <row r="27" ht="15.75" customHeight="1">
      <c r="A27" s="55" t="s">
        <v>285</v>
      </c>
      <c r="B27" s="56" t="s">
        <v>254</v>
      </c>
      <c r="C27" s="57" t="s">
        <v>287</v>
      </c>
      <c r="D27" s="56" t="s">
        <v>63</v>
      </c>
      <c r="E27" s="55" t="s">
        <v>256</v>
      </c>
      <c r="F27" s="58">
        <v>2.78</v>
      </c>
      <c r="G27" s="58"/>
      <c r="H27" s="57"/>
    </row>
    <row r="28" ht="15.75" customHeight="1">
      <c r="A28" s="59" t="s">
        <v>285</v>
      </c>
      <c r="B28" s="60" t="s">
        <v>254</v>
      </c>
      <c r="C28" s="61" t="s">
        <v>288</v>
      </c>
      <c r="D28" s="60" t="s">
        <v>63</v>
      </c>
      <c r="E28" s="59" t="s">
        <v>256</v>
      </c>
      <c r="F28" s="62">
        <v>3.84</v>
      </c>
      <c r="G28" s="62"/>
      <c r="H28" s="61"/>
    </row>
    <row r="29" ht="15.75" customHeight="1">
      <c r="A29" s="55" t="s">
        <v>285</v>
      </c>
      <c r="B29" s="56" t="s">
        <v>254</v>
      </c>
      <c r="C29" s="57" t="s">
        <v>289</v>
      </c>
      <c r="D29" s="56" t="s">
        <v>63</v>
      </c>
      <c r="E29" s="55" t="s">
        <v>256</v>
      </c>
      <c r="F29" s="58">
        <v>12.48</v>
      </c>
      <c r="G29" s="58"/>
      <c r="H29" s="57"/>
    </row>
    <row r="30" ht="15.75" customHeight="1">
      <c r="A30" s="59" t="s">
        <v>285</v>
      </c>
      <c r="B30" s="60" t="s">
        <v>254</v>
      </c>
      <c r="C30" s="61" t="s">
        <v>290</v>
      </c>
      <c r="D30" s="60" t="s">
        <v>63</v>
      </c>
      <c r="E30" s="59" t="s">
        <v>256</v>
      </c>
      <c r="F30" s="62">
        <v>2.78</v>
      </c>
      <c r="G30" s="62"/>
      <c r="H30" s="61" t="s">
        <v>291</v>
      </c>
    </row>
    <row r="31" ht="15.75" customHeight="1">
      <c r="A31" s="63" t="s">
        <v>285</v>
      </c>
      <c r="B31" s="64" t="s">
        <v>254</v>
      </c>
      <c r="C31" s="65" t="s">
        <v>292</v>
      </c>
      <c r="D31" s="64" t="s">
        <v>72</v>
      </c>
      <c r="E31" s="66" t="s">
        <v>272</v>
      </c>
      <c r="F31" s="67"/>
      <c r="G31" s="67">
        <v>9.22</v>
      </c>
      <c r="H31" s="65"/>
    </row>
    <row r="32" ht="15.75" customHeight="1">
      <c r="A32" s="63" t="s">
        <v>285</v>
      </c>
      <c r="B32" s="64" t="s">
        <v>254</v>
      </c>
      <c r="C32" s="65" t="s">
        <v>293</v>
      </c>
      <c r="D32" s="64" t="s">
        <v>72</v>
      </c>
      <c r="E32" s="66" t="s">
        <v>272</v>
      </c>
      <c r="F32" s="67"/>
      <c r="G32" s="67">
        <v>2.98</v>
      </c>
      <c r="H32" s="65"/>
    </row>
    <row r="33" ht="15.75" customHeight="1">
      <c r="A33" s="55" t="s">
        <v>285</v>
      </c>
      <c r="B33" s="56" t="s">
        <v>254</v>
      </c>
      <c r="C33" s="57" t="s">
        <v>258</v>
      </c>
      <c r="D33" s="56" t="s">
        <v>40</v>
      </c>
      <c r="E33" s="55" t="s">
        <v>256</v>
      </c>
      <c r="F33" s="58">
        <v>0.73</v>
      </c>
      <c r="G33" s="58"/>
      <c r="H33" s="57"/>
    </row>
    <row r="34" ht="15.75" customHeight="1">
      <c r="A34" s="52" t="s">
        <v>294</v>
      </c>
      <c r="B34" s="50"/>
      <c r="C34" s="50"/>
      <c r="D34" s="50"/>
      <c r="E34" s="51"/>
      <c r="F34" s="53">
        <f t="shared" ref="F34:G34" si="1">SUM(F3:F33)</f>
        <v>155.82</v>
      </c>
      <c r="G34" s="53">
        <f t="shared" si="1"/>
        <v>54.81</v>
      </c>
    </row>
    <row r="35" ht="15.75" customHeight="1"/>
    <row r="36" ht="15.75" customHeight="1">
      <c r="A36" s="68" t="s">
        <v>295</v>
      </c>
      <c r="B36" s="50"/>
      <c r="C36" s="50"/>
      <c r="D36" s="50"/>
      <c r="E36" s="50"/>
      <c r="F36" s="50"/>
      <c r="G36" s="50"/>
      <c r="H36" s="51"/>
    </row>
    <row r="37" ht="15.75" customHeight="1">
      <c r="A37" s="69" t="s">
        <v>296</v>
      </c>
      <c r="B37" s="50"/>
      <c r="C37" s="50"/>
      <c r="D37" s="50"/>
      <c r="E37" s="51"/>
      <c r="F37" s="70">
        <f>F34</f>
        <v>155.82</v>
      </c>
    </row>
    <row r="38" ht="15.75" customHeight="1">
      <c r="A38" s="71" t="s">
        <v>297</v>
      </c>
      <c r="B38" s="50"/>
      <c r="C38" s="50"/>
      <c r="D38" s="50"/>
      <c r="E38" s="51"/>
      <c r="F38" s="72">
        <f>G34</f>
        <v>54.81</v>
      </c>
    </row>
    <row r="39" ht="15.75" customHeight="1">
      <c r="A39" s="73" t="s">
        <v>298</v>
      </c>
      <c r="B39" s="50"/>
      <c r="C39" s="50"/>
      <c r="D39" s="50"/>
      <c r="E39" s="51"/>
      <c r="F39" s="74">
        <f>F34</f>
        <v>155.82</v>
      </c>
    </row>
    <row r="40" ht="15.75" customHeight="1"/>
    <row r="41" ht="30.0" customHeight="1">
      <c r="A41" s="54" t="s">
        <v>299</v>
      </c>
      <c r="B41" s="2"/>
      <c r="C41" s="2"/>
      <c r="D41" s="2"/>
      <c r="E41" s="2"/>
      <c r="F41" s="2"/>
      <c r="G41" s="2"/>
      <c r="H41" s="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34:E34"/>
    <mergeCell ref="A36:H36"/>
    <mergeCell ref="A37:E37"/>
    <mergeCell ref="A38:E38"/>
    <mergeCell ref="A39:E39"/>
    <mergeCell ref="A41:H4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40.0"/>
    <col customWidth="1" min="4" max="4" width="16.0"/>
    <col customWidth="1" min="5" max="6" width="18.0"/>
    <col customWidth="1" min="7" max="26" width="8.71"/>
  </cols>
  <sheetData>
    <row r="1" ht="27.75" customHeight="1">
      <c r="A1" s="1" t="s">
        <v>300</v>
      </c>
      <c r="B1" s="2"/>
      <c r="C1" s="2"/>
      <c r="D1" s="2"/>
      <c r="E1" s="2"/>
      <c r="F1" s="3"/>
    </row>
    <row r="2" ht="24.75" customHeight="1">
      <c r="A2" s="75" t="s">
        <v>301</v>
      </c>
      <c r="B2" s="2"/>
      <c r="C2" s="2"/>
      <c r="D2" s="2"/>
      <c r="E2" s="2"/>
      <c r="F2" s="3"/>
    </row>
    <row r="3">
      <c r="A3" s="4" t="s">
        <v>1</v>
      </c>
      <c r="B3" s="4" t="s">
        <v>248</v>
      </c>
      <c r="C3" s="4" t="s">
        <v>249</v>
      </c>
      <c r="D3" s="4" t="s">
        <v>144</v>
      </c>
      <c r="E3" s="4" t="s">
        <v>302</v>
      </c>
      <c r="F3" s="4" t="s">
        <v>303</v>
      </c>
    </row>
    <row r="4">
      <c r="A4" s="5" t="s">
        <v>304</v>
      </c>
      <c r="B4" s="5" t="s">
        <v>305</v>
      </c>
      <c r="C4" s="5" t="s">
        <v>306</v>
      </c>
      <c r="D4" s="76">
        <v>29.68</v>
      </c>
      <c r="E4" s="76">
        <v>15.1368</v>
      </c>
      <c r="F4" s="76">
        <v>14.5432</v>
      </c>
    </row>
    <row r="5">
      <c r="A5" s="77" t="s">
        <v>267</v>
      </c>
      <c r="B5" s="77" t="s">
        <v>268</v>
      </c>
      <c r="C5" s="77" t="s">
        <v>271</v>
      </c>
      <c r="D5" s="78">
        <v>16.99</v>
      </c>
      <c r="E5" s="78">
        <v>8.6649</v>
      </c>
      <c r="F5" s="78">
        <v>8.325099999999999</v>
      </c>
    </row>
    <row r="6">
      <c r="A6" s="5" t="s">
        <v>267</v>
      </c>
      <c r="B6" s="5" t="s">
        <v>268</v>
      </c>
      <c r="C6" s="5" t="s">
        <v>307</v>
      </c>
      <c r="D6" s="76">
        <v>0.6</v>
      </c>
      <c r="E6" s="76">
        <v>0.306</v>
      </c>
      <c r="F6" s="76">
        <v>0.294</v>
      </c>
    </row>
    <row r="7">
      <c r="A7" s="77" t="s">
        <v>274</v>
      </c>
      <c r="B7" s="77" t="s">
        <v>254</v>
      </c>
      <c r="C7" s="77" t="s">
        <v>283</v>
      </c>
      <c r="D7" s="78">
        <v>12.46</v>
      </c>
      <c r="E7" s="78">
        <v>6.3546</v>
      </c>
      <c r="F7" s="78">
        <v>6.1054</v>
      </c>
    </row>
    <row r="8">
      <c r="A8" s="5" t="s">
        <v>274</v>
      </c>
      <c r="B8" s="5" t="s">
        <v>254</v>
      </c>
      <c r="C8" s="5" t="s">
        <v>284</v>
      </c>
      <c r="D8" s="76">
        <v>5.96</v>
      </c>
      <c r="E8" s="76">
        <v>3.0396</v>
      </c>
      <c r="F8" s="76">
        <v>2.9204</v>
      </c>
    </row>
    <row r="9">
      <c r="A9" s="77" t="s">
        <v>274</v>
      </c>
      <c r="B9" s="77" t="s">
        <v>254</v>
      </c>
      <c r="C9" s="77" t="s">
        <v>281</v>
      </c>
      <c r="D9" s="78">
        <v>5.24</v>
      </c>
      <c r="E9" s="78">
        <v>2.6724</v>
      </c>
      <c r="F9" s="78">
        <v>2.5676</v>
      </c>
    </row>
    <row r="10">
      <c r="A10" s="5" t="s">
        <v>274</v>
      </c>
      <c r="B10" s="5" t="s">
        <v>254</v>
      </c>
      <c r="C10" s="5" t="s">
        <v>308</v>
      </c>
      <c r="D10" s="76">
        <v>1.36</v>
      </c>
      <c r="E10" s="76">
        <v>0.6936000000000001</v>
      </c>
      <c r="F10" s="76">
        <v>0.6664</v>
      </c>
    </row>
    <row r="11">
      <c r="A11" s="77" t="s">
        <v>285</v>
      </c>
      <c r="B11" s="77" t="s">
        <v>254</v>
      </c>
      <c r="C11" s="77" t="s">
        <v>292</v>
      </c>
      <c r="D11" s="78">
        <v>9.22</v>
      </c>
      <c r="E11" s="78">
        <v>4.7022</v>
      </c>
      <c r="F11" s="78">
        <v>4.5178</v>
      </c>
    </row>
    <row r="12">
      <c r="A12" s="5" t="s">
        <v>285</v>
      </c>
      <c r="B12" s="5" t="s">
        <v>254</v>
      </c>
      <c r="C12" s="5" t="s">
        <v>293</v>
      </c>
      <c r="D12" s="76">
        <v>2.98</v>
      </c>
      <c r="E12" s="76">
        <v>1.5198</v>
      </c>
      <c r="F12" s="76">
        <v>1.4602</v>
      </c>
    </row>
    <row r="13">
      <c r="A13" s="77" t="s">
        <v>309</v>
      </c>
      <c r="B13" s="77" t="s">
        <v>310</v>
      </c>
      <c r="C13" s="77" t="s">
        <v>311</v>
      </c>
      <c r="D13" s="78">
        <v>6.14</v>
      </c>
      <c r="E13" s="78">
        <v>3.1314</v>
      </c>
      <c r="F13" s="78">
        <v>3.0086</v>
      </c>
    </row>
    <row r="14">
      <c r="A14" s="79" t="s">
        <v>312</v>
      </c>
      <c r="B14" s="80"/>
      <c r="C14" s="80"/>
      <c r="D14" s="81">
        <f t="shared" ref="D14:F14" si="1">SUM(D4:D13)</f>
        <v>90.63</v>
      </c>
      <c r="E14" s="81">
        <f t="shared" si="1"/>
        <v>46.2213</v>
      </c>
      <c r="F14" s="81">
        <f t="shared" si="1"/>
        <v>44.4087</v>
      </c>
    </row>
    <row r="16" ht="34.5" customHeight="1">
      <c r="A16" s="82" t="s">
        <v>313</v>
      </c>
      <c r="B16" s="2"/>
      <c r="C16" s="2"/>
      <c r="D16" s="2"/>
      <c r="E16" s="2"/>
      <c r="F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6:F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2026-03-10T19:59:04Z</dcterms:created>
  <dc:creator>openpyxl</dc:creator>
</cp:coreProperties>
</file>