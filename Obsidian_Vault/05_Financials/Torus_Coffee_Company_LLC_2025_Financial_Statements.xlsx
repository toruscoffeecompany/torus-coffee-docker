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Member Capital Accounts" sheetId="3" state="visible" r:id="rId3"/>
    <sheet xmlns:r="http://schemas.openxmlformats.org/officeDocument/2006/relationships" name="Depreciation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($#,##0.00);&quot;-&quot;"/>
    <numFmt numFmtId="165" formatCode="0.0%"/>
    <numFmt numFmtId="166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F5496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7F6000"/>
      <sz val="9"/>
    </font>
    <font>
      <name val="Arial"/>
      <b val="1"/>
      <color rgb="002F5496"/>
      <sz val="10"/>
    </font>
    <font>
      <name val="Arial"/>
      <b val="1"/>
      <color rgb="00FFFFFF"/>
      <sz val="10"/>
    </font>
    <font>
      <name val="Arial"/>
      <i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/>
      <bottom style="double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indent="2"/>
    </xf>
    <xf numFmtId="164" fontId="4" fillId="4" borderId="0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left" indent="1"/>
    </xf>
    <xf numFmtId="0" fontId="0" fillId="5" borderId="0" pivotButton="0" quotePrefix="0" xfId="0"/>
    <xf numFmtId="164" fontId="5" fillId="5" borderId="0" applyAlignment="1" pivotButton="0" quotePrefix="0" xfId="0">
      <alignment horizontal="right"/>
    </xf>
    <xf numFmtId="0" fontId="5" fillId="6" borderId="0" applyAlignment="1" pivotButton="0" quotePrefix="0" xfId="0">
      <alignment horizontal="left" indent="1"/>
    </xf>
    <xf numFmtId="0" fontId="0" fillId="6" borderId="0" pivotButton="0" quotePrefix="0" xfId="0"/>
    <xf numFmtId="164" fontId="5" fillId="6" borderId="0" applyAlignment="1" pivotButton="0" quotePrefix="0" xfId="0">
      <alignment horizontal="right"/>
    </xf>
    <xf numFmtId="0" fontId="5" fillId="7" borderId="0" applyAlignment="1" pivotButton="0" quotePrefix="0" xfId="0">
      <alignment horizontal="left" indent="1"/>
    </xf>
    <xf numFmtId="0" fontId="0" fillId="7" borderId="0" pivotButton="0" quotePrefix="0" xfId="0"/>
    <xf numFmtId="164" fontId="5" fillId="7" borderId="2" applyAlignment="1" pivotButton="0" quotePrefix="0" xfId="0">
      <alignment horizontal="right"/>
    </xf>
    <xf numFmtId="0" fontId="6" fillId="8" borderId="0" applyAlignment="1" pivotButton="0" quotePrefix="0" xfId="0">
      <alignment wrapText="1"/>
    </xf>
    <xf numFmtId="0" fontId="7" fillId="0" borderId="0" applyAlignment="1" pivotButton="0" quotePrefix="0" xfId="0">
      <alignment indent="1"/>
    </xf>
    <xf numFmtId="0" fontId="4" fillId="4" borderId="0" applyAlignment="1" pivotButton="0" quotePrefix="0" xfId="0">
      <alignment horizontal="left" indent="3"/>
    </xf>
    <xf numFmtId="0" fontId="8" fillId="2" borderId="0" applyAlignment="1" pivotButton="0" quotePrefix="0" xfId="0">
      <alignment horizontal="left" indent="1"/>
    </xf>
    <xf numFmtId="0" fontId="0" fillId="2" borderId="0" pivotButton="0" quotePrefix="0" xfId="0"/>
    <xf numFmtId="164" fontId="8" fillId="2" borderId="0" applyAlignment="1" pivotButton="0" quotePrefix="0" xfId="0">
      <alignment horizontal="right"/>
    </xf>
    <xf numFmtId="0" fontId="8" fillId="3" borderId="3" applyAlignment="1" pivotButton="0" quotePrefix="0" xfId="0">
      <alignment horizontal="left"/>
    </xf>
    <xf numFmtId="0" fontId="8" fillId="3" borderId="3" applyAlignment="1" pivotButton="0" quotePrefix="0" xfId="0">
      <alignment horizontal="center" wrapText="1"/>
    </xf>
    <xf numFmtId="0" fontId="8" fillId="3" borderId="3" applyAlignment="1" pivotButton="0" quotePrefix="0" xfId="0">
      <alignment horizontal="center"/>
    </xf>
    <xf numFmtId="0" fontId="9" fillId="9" borderId="3" pivotButton="0" quotePrefix="0" xfId="0"/>
    <xf numFmtId="165" fontId="0" fillId="9" borderId="3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4" fillId="4" borderId="3" applyAlignment="1" pivotButton="0" quotePrefix="0" xfId="0">
      <alignment horizontal="left" indent="1"/>
    </xf>
    <xf numFmtId="164" fontId="4" fillId="4" borderId="3" applyAlignment="1" pivotButton="0" quotePrefix="0" xfId="0">
      <alignment horizontal="right"/>
    </xf>
    <xf numFmtId="0" fontId="5" fillId="5" borderId="3" applyAlignment="1" pivotButton="0" quotePrefix="0" xfId="0">
      <alignment horizontal="left" indent="1"/>
    </xf>
    <xf numFmtId="164" fontId="5" fillId="5" borderId="3" applyAlignment="1" pivotButton="0" quotePrefix="0" xfId="0">
      <alignment horizontal="right"/>
    </xf>
    <xf numFmtId="0" fontId="4" fillId="7" borderId="3" applyAlignment="1" pivotButton="0" quotePrefix="0" xfId="0">
      <alignment horizontal="left" indent="1"/>
    </xf>
    <xf numFmtId="164" fontId="4" fillId="7" borderId="3" applyAlignment="1" pivotButton="0" quotePrefix="0" xfId="0">
      <alignment horizontal="right"/>
    </xf>
    <xf numFmtId="0" fontId="8" fillId="2" borderId="3" applyAlignment="1" pivotButton="0" quotePrefix="0" xfId="0">
      <alignment horizontal="left" indent="1"/>
    </xf>
    <xf numFmtId="164" fontId="8" fillId="2" borderId="3" applyAlignment="1" pivotButton="0" quotePrefix="0" xfId="0">
      <alignment horizontal="right"/>
    </xf>
    <xf numFmtId="0" fontId="4" fillId="4" borderId="3" applyAlignment="1" pivotButton="0" quotePrefix="0" xfId="0">
      <alignment horizontal="left"/>
    </xf>
    <xf numFmtId="0" fontId="4" fillId="4" borderId="3" applyAlignment="1" pivotButton="0" quotePrefix="0" xfId="0">
      <alignment horizontal="center"/>
    </xf>
    <xf numFmtId="166" fontId="4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center"/>
    </xf>
    <xf numFmtId="0" fontId="4" fillId="9" borderId="3" applyAlignment="1" pivotButton="0" quotePrefix="0" xfId="0">
      <alignment horizontal="left"/>
    </xf>
    <xf numFmtId="0" fontId="4" fillId="9" borderId="3" applyAlignment="1" pivotButton="0" quotePrefix="0" xfId="0">
      <alignment horizontal="center"/>
    </xf>
    <xf numFmtId="166" fontId="4" fillId="9" borderId="3" applyAlignment="1" pivotButton="0" quotePrefix="0" xfId="0">
      <alignment horizontal="right"/>
    </xf>
    <xf numFmtId="165" fontId="4" fillId="9" borderId="3" applyAlignment="1" pivotButton="0" quotePrefix="0" xfId="0">
      <alignment horizontal="center"/>
    </xf>
    <xf numFmtId="0" fontId="5" fillId="5" borderId="3" pivotButton="0" quotePrefix="0" xfId="0"/>
    <xf numFmtId="166" fontId="5" fillId="5" borderId="3" applyAlignment="1" pivotButton="0" quotePrefix="0" xfId="0">
      <alignment horizontal="right"/>
    </xf>
    <xf numFmtId="0" fontId="4" fillId="0" borderId="0" applyAlignment="1" pivotButton="0" quotePrefix="0" xfId="0">
      <alignment horizontal="left" indent="2"/>
    </xf>
    <xf numFmtId="164" fontId="4" fillId="0" borderId="0" applyAlignment="1" pivotButton="0" quotePrefix="0" xfId="0">
      <alignment horizontal="right"/>
    </xf>
    <xf numFmtId="0" fontId="6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5" customWidth="1" min="1" max="1"/>
    <col width="4" customWidth="1" min="2" max="2"/>
    <col width="18" customWidth="1" min="3" max="3"/>
  </cols>
  <sheetData>
    <row r="1" ht="30" customHeight="1">
      <c r="A1" s="1" t="inlineStr">
        <is>
          <t>Torus Coffee Company LLC</t>
        </is>
      </c>
    </row>
    <row r="2" ht="30" customHeight="1">
      <c r="A2" s="1" t="inlineStr">
        <is>
          <t>Income Statement (Profit &amp; Loss)</t>
        </is>
      </c>
    </row>
    <row r="3" ht="20" customHeight="1">
      <c r="A3" s="2" t="inlineStr">
        <is>
          <t>For the Year Ended December 31, 2025</t>
        </is>
      </c>
    </row>
    <row r="5" ht="22" customHeight="1">
      <c r="A5" s="3" t="inlineStr">
        <is>
          <t>REVENUE</t>
        </is>
      </c>
    </row>
    <row r="6">
      <c r="A6" s="4" t="inlineStr">
        <is>
          <t>Flea market cash sales</t>
        </is>
      </c>
      <c r="C6" s="5" t="n">
        <v>142</v>
      </c>
    </row>
    <row r="7">
      <c r="A7" s="4" t="inlineStr">
        <is>
          <t>Online sales – Wix.com</t>
        </is>
      </c>
      <c r="C7" s="5" t="n">
        <v>9.699999999999999</v>
      </c>
    </row>
    <row r="8">
      <c r="A8" s="4" t="inlineStr">
        <is>
          <t>Etsy promotional credit (reclassified)</t>
        </is>
      </c>
      <c r="C8" s="6" t="n">
        <v>0</v>
      </c>
    </row>
    <row r="9" ht="18" customHeight="1">
      <c r="A9" s="7" t="inlineStr">
        <is>
          <t>Total Revenue</t>
        </is>
      </c>
      <c r="B9" s="8" t="n"/>
      <c r="C9" s="9">
        <f>SUM(C6:C8)</f>
        <v/>
      </c>
    </row>
    <row r="11" ht="22" customHeight="1">
      <c r="A11" s="3" t="inlineStr">
        <is>
          <t>COST OF GOODS SOLD</t>
        </is>
      </c>
    </row>
    <row r="12">
      <c r="A12" s="4" t="inlineStr">
        <is>
          <t>Beginning inventory</t>
        </is>
      </c>
      <c r="C12" s="5" t="n">
        <v>0</v>
      </c>
    </row>
    <row r="13">
      <c r="A13" s="4" t="inlineStr">
        <is>
          <t>Purchases (raw materials &amp; packaging)</t>
        </is>
      </c>
      <c r="C13" s="5" t="n">
        <v>827.23</v>
      </c>
    </row>
    <row r="14">
      <c r="A14" s="4" t="inlineStr">
        <is>
          <t>Less: Ending inventory</t>
        </is>
      </c>
      <c r="C14" s="6" t="n">
        <v>-211.91</v>
      </c>
    </row>
    <row r="15" ht="18" customHeight="1">
      <c r="A15" s="7" t="inlineStr">
        <is>
          <t>Total Cost of Goods Sold</t>
        </is>
      </c>
      <c r="B15" s="8" t="n"/>
      <c r="C15" s="9">
        <f>SUM(C12:C14)</f>
        <v/>
      </c>
    </row>
    <row r="16" ht="18" customHeight="1">
      <c r="A16" s="10" t="inlineStr">
        <is>
          <t>GROSS PROFIT</t>
        </is>
      </c>
      <c r="B16" s="11" t="n"/>
      <c r="C16" s="12">
        <f>C9-C15</f>
        <v/>
      </c>
    </row>
    <row r="18" ht="22" customHeight="1">
      <c r="A18" s="3" t="inlineStr">
        <is>
          <t>OPERATING EXPENSES</t>
        </is>
      </c>
    </row>
    <row r="19">
      <c r="A19" s="4" t="inlineStr">
        <is>
          <t>Advertising &amp; marketing (Wix.com)</t>
        </is>
      </c>
      <c r="C19" s="5" t="n">
        <v>410.55</v>
      </c>
    </row>
    <row r="20">
      <c r="A20" s="4" t="inlineStr">
        <is>
          <t>Bank fees &amp; charges</t>
        </is>
      </c>
      <c r="C20" s="5" t="n">
        <v>104.25</v>
      </c>
    </row>
    <row r="21">
      <c r="A21" s="4" t="inlineStr">
        <is>
          <t>Depreciation expense</t>
        </is>
      </c>
      <c r="C21" s="5" t="n">
        <v>462.29</v>
      </c>
    </row>
    <row r="22">
      <c r="A22" s="4" t="inlineStr">
        <is>
          <t>Flea market vendor fee</t>
        </is>
      </c>
      <c r="C22" s="5" t="n">
        <v>20</v>
      </c>
    </row>
    <row r="23">
      <c r="A23" s="4" t="inlineStr">
        <is>
          <t>Legal &amp; professional fees (LegalZoom)</t>
        </is>
      </c>
      <c r="C23" s="5" t="n">
        <v>248</v>
      </c>
    </row>
    <row r="24">
      <c r="A24" s="4" t="inlineStr">
        <is>
          <t>Meals &amp; entertainment (50% deductible)</t>
        </is>
      </c>
      <c r="C24" s="5" t="n">
        <v>2.12</v>
      </c>
    </row>
    <row r="25">
      <c r="A25" s="4" t="inlineStr">
        <is>
          <t>Office supplies</t>
        </is>
      </c>
      <c r="C25" s="5" t="n">
        <v>106.95</v>
      </c>
    </row>
    <row r="26">
      <c r="A26" s="4" t="inlineStr">
        <is>
          <t>Software &amp; subscriptions</t>
        </is>
      </c>
      <c r="C26" s="5" t="n">
        <v>116.44</v>
      </c>
    </row>
    <row r="27">
      <c r="A27" s="4" t="inlineStr">
        <is>
          <t>Taxes &amp; licenses</t>
        </is>
      </c>
      <c r="C27" s="5" t="n">
        <v>3.94</v>
      </c>
    </row>
    <row r="28">
      <c r="A28" s="4" t="inlineStr">
        <is>
          <t>Telephone &amp; communications</t>
        </is>
      </c>
      <c r="C28" s="6" t="n">
        <v>71.87</v>
      </c>
    </row>
    <row r="29" ht="18" customHeight="1">
      <c r="A29" s="7" t="inlineStr">
        <is>
          <t>Total Operating Expenses</t>
        </is>
      </c>
      <c r="B29" s="8" t="n"/>
      <c r="C29" s="9">
        <f>SUM(C19:C28)</f>
        <v/>
      </c>
    </row>
    <row r="30" ht="18" customHeight="1">
      <c r="A30" s="13" t="inlineStr">
        <is>
          <t>NET LOSS</t>
        </is>
      </c>
      <c r="B30" s="14" t="n"/>
      <c r="C30" s="15">
        <f>C16-C29</f>
        <v/>
      </c>
    </row>
    <row r="32" ht="22" customHeight="1">
      <c r="A32" s="3" t="inlineStr">
        <is>
          <t>NET LOSS ALLOCATION</t>
        </is>
      </c>
    </row>
    <row r="33">
      <c r="A33" s="4" t="inlineStr">
        <is>
          <t>Sara Jane Shelvock (51%)</t>
        </is>
      </c>
      <c r="C33" s="5">
        <f>C30*0.51</f>
        <v/>
      </c>
    </row>
    <row r="34">
      <c r="A34" s="4" t="inlineStr">
        <is>
          <t>Bryon Smith (49%)</t>
        </is>
      </c>
      <c r="C34" s="5">
        <f>C30*0.49</f>
        <v/>
      </c>
    </row>
    <row r="36" ht="30" customHeight="1">
      <c r="A36" s="16" t="inlineStr">
        <is>
          <t>⚠️  Note: Depreciation calculated using MACRS half-year convention. Net loss flows through to partners' personal returns via Schedule K-1.</t>
        </is>
      </c>
    </row>
  </sheetData>
  <mergeCells count="8">
    <mergeCell ref="A36:C36"/>
    <mergeCell ref="A11:C11"/>
    <mergeCell ref="A1:C1"/>
    <mergeCell ref="A5:C5"/>
    <mergeCell ref="A32:C32"/>
    <mergeCell ref="A18:C18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5" customWidth="1" min="1" max="1"/>
    <col width="4" customWidth="1" min="2" max="2"/>
    <col width="18" customWidth="1" min="3" max="3"/>
  </cols>
  <sheetData>
    <row r="1" ht="30" customHeight="1">
      <c r="A1" s="1" t="inlineStr">
        <is>
          <t>Torus Coffee Company LLC</t>
        </is>
      </c>
    </row>
    <row r="2" ht="30" customHeight="1">
      <c r="A2" s="1" t="inlineStr">
        <is>
          <t>Balance Sheet</t>
        </is>
      </c>
    </row>
    <row r="3" ht="20" customHeight="1">
      <c r="A3" s="2" t="inlineStr">
        <is>
          <t>As of December 31, 2025</t>
        </is>
      </c>
    </row>
    <row r="4"/>
    <row r="5" ht="22" customHeight="1">
      <c r="A5" s="3" t="inlineStr">
        <is>
          <t>ASSETS</t>
        </is>
      </c>
    </row>
    <row r="6">
      <c r="A6" s="17" t="inlineStr">
        <is>
          <t>Current Assets</t>
        </is>
      </c>
    </row>
    <row r="7">
      <c r="A7" s="18" t="inlineStr">
        <is>
          <t>Cash – US Bank Checking (5287)</t>
        </is>
      </c>
      <c r="C7" s="5" t="n">
        <v>0.31</v>
      </c>
    </row>
    <row r="8">
      <c r="A8" s="18" t="inlineStr">
        <is>
          <t>Cash – US Bank Savings (5016) – overdraft</t>
        </is>
      </c>
      <c r="C8" s="5" t="n">
        <v>0</v>
      </c>
    </row>
    <row r="9">
      <c r="A9" s="18" t="inlineStr">
        <is>
          <t>Inventory (96 bags at cost)</t>
        </is>
      </c>
      <c r="C9" s="6" t="n">
        <v>211.91</v>
      </c>
    </row>
    <row r="10" ht="18" customHeight="1">
      <c r="A10" s="7" t="inlineStr">
        <is>
          <t>Total Current Assets</t>
        </is>
      </c>
      <c r="B10" s="8" t="n"/>
      <c r="C10" s="9">
        <f>SUM(C7:C9)</f>
        <v/>
      </c>
    </row>
    <row r="11"/>
    <row r="12">
      <c r="A12" s="17" t="inlineStr">
        <is>
          <t>Fixed Assets</t>
        </is>
      </c>
    </row>
    <row r="13">
      <c r="A13" s="18" t="inlineStr">
        <is>
          <t>Harvest Right Freeze Dryer</t>
        </is>
      </c>
      <c r="C13" s="5" t="n">
        <v>2661.64</v>
      </c>
    </row>
    <row r="14">
      <c r="A14" s="18" t="inlineStr">
        <is>
          <t>GRIDMANN Stainless Steel Table</t>
        </is>
      </c>
      <c r="C14" s="5" t="n">
        <v>236.36</v>
      </c>
    </row>
    <row r="15">
      <c r="A15" s="18" t="inlineStr">
        <is>
          <t>NIKICAM Digital Camera &amp; Light Box</t>
        </is>
      </c>
      <c r="C15" s="5" t="n">
        <v>154.85</v>
      </c>
    </row>
    <row r="16">
      <c r="A16" s="18" t="inlineStr">
        <is>
          <t>MUNBYN Bluetooth Label Printer</t>
        </is>
      </c>
      <c r="C16" s="6" t="n">
        <v>85.98999999999999</v>
      </c>
    </row>
    <row r="17" ht="18" customHeight="1">
      <c r="A17" s="7" t="inlineStr">
        <is>
          <t>Total Fixed Assets (at cost)</t>
        </is>
      </c>
      <c r="B17" s="8" t="n"/>
      <c r="C17" s="9">
        <f>SUM(C13:C16)</f>
        <v/>
      </c>
    </row>
    <row r="18">
      <c r="A18" s="18" t="inlineStr">
        <is>
          <t>Less: Accumulated depreciation</t>
        </is>
      </c>
      <c r="C18" s="6" t="n">
        <v>-462.29</v>
      </c>
    </row>
    <row r="19" ht="18" customHeight="1">
      <c r="A19" s="7" t="inlineStr">
        <is>
          <t>Net Fixed Assets</t>
        </is>
      </c>
      <c r="B19" s="8" t="n"/>
      <c r="C19" s="9">
        <f>C17+C18</f>
        <v/>
      </c>
    </row>
    <row r="20"/>
    <row r="21" ht="18" customHeight="1">
      <c r="A21" s="19" t="inlineStr">
        <is>
          <t>TOTAL ASSETS</t>
        </is>
      </c>
      <c r="B21" s="20" t="n"/>
      <c r="C21" s="21">
        <f>C10+C19</f>
        <v/>
      </c>
    </row>
    <row r="22"/>
    <row r="23" ht="22" customHeight="1">
      <c r="A23" s="3" t="inlineStr">
        <is>
          <t>LIABILITIES</t>
        </is>
      </c>
    </row>
    <row r="24">
      <c r="A24" s="46" t="inlineStr">
        <is>
          <t>Bank overdraft – US Bank Savings (5016)</t>
        </is>
      </c>
      <c r="C24" s="47" t="n">
        <v>4.98</v>
      </c>
    </row>
    <row r="25">
      <c r="A25" s="4" t="inlineStr">
        <is>
          <t>Total Liabilities</t>
        </is>
      </c>
      <c r="C25" s="5">
        <f>C24</f>
        <v/>
      </c>
    </row>
    <row r="26" ht="22" customHeight="1"/>
    <row r="27">
      <c r="A27" s="3" t="inlineStr">
        <is>
          <t>MEMBERS' EQUITY</t>
        </is>
      </c>
    </row>
    <row r="28">
      <c r="A28" s="4" t="inlineStr">
        <is>
          <t>Sara Jane Shelvock – capital contribution (51%)</t>
        </is>
      </c>
      <c r="C28" s="5" t="n">
        <v>2481.15</v>
      </c>
    </row>
    <row r="29">
      <c r="A29" s="4" t="inlineStr">
        <is>
          <t>Bryon Smith – capital contribution (49%)</t>
        </is>
      </c>
      <c r="C29" s="5" t="n">
        <v>2383.85</v>
      </c>
    </row>
    <row r="30" ht="18" customHeight="1">
      <c r="A30" s="46" t="inlineStr">
        <is>
          <t>Less: Partner distributions</t>
        </is>
      </c>
      <c r="C30" s="47" t="n">
        <v>-90.63</v>
      </c>
    </row>
    <row r="31">
      <c r="A31" s="4" t="inlineStr">
        <is>
          <t>Net loss for the year</t>
        </is>
      </c>
      <c r="C31" s="6" t="n">
        <v>-2010.03</v>
      </c>
    </row>
    <row r="32" ht="18" customHeight="1">
      <c r="A32" s="7" t="inlineStr">
        <is>
          <t>Total Members' Equity</t>
        </is>
      </c>
      <c r="B32" s="8" t="n"/>
      <c r="C32" s="9">
        <f>SUM(C27:C29)</f>
        <v/>
      </c>
    </row>
    <row r="33"/>
    <row r="34" ht="30" customHeight="1">
      <c r="A34" s="19" t="inlineStr">
        <is>
          <t>TOTAL LIABILITIES &amp; MEMBERS' EQUITY</t>
        </is>
      </c>
      <c r="B34" s="20" t="n"/>
      <c r="C34" s="21">
        <f>C24+C30</f>
        <v/>
      </c>
    </row>
    <row r="35"/>
    <row r="36">
      <c r="A36" s="16" t="inlineStr">
        <is>
          <t>Note: Ending balances verified from bank statements. Checking (5287): $0.31. Savings (5016): ($4.98) overdraft shown as current liability.</t>
        </is>
      </c>
    </row>
  </sheetData>
  <mergeCells count="7">
    <mergeCell ref="A1:C1"/>
    <mergeCell ref="A23:C23"/>
    <mergeCell ref="A5:C5"/>
    <mergeCell ref="A3:C3"/>
    <mergeCell ref="A34:C34"/>
    <mergeCell ref="A26:C2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18" customWidth="1" min="4" max="4"/>
  </cols>
  <sheetData>
    <row r="1" ht="30" customHeight="1">
      <c r="A1" s="1" t="inlineStr">
        <is>
          <t>Torus Coffee Company LLC</t>
        </is>
      </c>
    </row>
    <row r="2" ht="30" customHeight="1">
      <c r="A2" s="1" t="inlineStr">
        <is>
          <t>Member Capital Accounts – Schedule K-1 Support</t>
        </is>
      </c>
    </row>
    <row r="3" ht="20" customHeight="1">
      <c r="A3" s="2" t="inlineStr">
        <is>
          <t>For the Year Ended December 31, 2025</t>
        </is>
      </c>
    </row>
    <row r="4"/>
    <row r="5" ht="35" customHeight="1">
      <c r="A5" s="22" t="inlineStr"/>
      <c r="B5" s="23" t="inlineStr">
        <is>
          <t>Sara Jane Shelvock
(51%)</t>
        </is>
      </c>
      <c r="C5" s="23" t="inlineStr">
        <is>
          <t>Bryon Smith
(49%)</t>
        </is>
      </c>
      <c r="D5" s="24" t="inlineStr">
        <is>
          <t>Total</t>
        </is>
      </c>
    </row>
    <row r="6">
      <c r="A6" s="25" t="inlineStr">
        <is>
          <t>Ownership Percentage</t>
        </is>
      </c>
      <c r="B6" s="26" t="n">
        <v>0.51</v>
      </c>
      <c r="C6" s="26" t="n">
        <v>0.49</v>
      </c>
      <c r="D6" s="27" t="inlineStr">
        <is>
          <t>100.0%</t>
        </is>
      </c>
    </row>
    <row r="7"/>
    <row r="8" ht="22" customHeight="1">
      <c r="A8" s="3" t="inlineStr">
        <is>
          <t>BEGINNING CAPITAL (January 1, 2025)</t>
        </is>
      </c>
    </row>
    <row r="9">
      <c r="A9" s="28" t="inlineStr">
        <is>
          <t>Beginning capital balance</t>
        </is>
      </c>
      <c r="B9" s="29" t="n">
        <v>0</v>
      </c>
      <c r="C9" s="29" t="n">
        <v>0</v>
      </c>
      <c r="D9" s="29">
        <f>B9+C9</f>
        <v/>
      </c>
    </row>
    <row r="10"/>
    <row r="11" ht="22" customHeight="1">
      <c r="A11" s="3" t="inlineStr">
        <is>
          <t>CONTRIBUTIONS DURING 2025</t>
        </is>
      </c>
    </row>
    <row r="12">
      <c r="A12" s="28" t="inlineStr">
        <is>
          <t>Cash contributions – Schwab deposits (equal split)</t>
        </is>
      </c>
      <c r="B12" s="29" t="n">
        <v>2030</v>
      </c>
      <c r="C12" s="29" t="n">
        <v>2030</v>
      </c>
      <c r="D12" s="29">
        <f>B12+C12</f>
        <v/>
      </c>
    </row>
    <row r="13">
      <c r="A13" s="28" t="inlineStr">
        <is>
          <t>Initial cash deposits (Mar 7 + telephone transfer)</t>
        </is>
      </c>
      <c r="B13" s="29" t="n">
        <v>451.15</v>
      </c>
      <c r="C13" s="29" t="n">
        <v>433.85</v>
      </c>
      <c r="D13" s="29">
        <f>B13+C13</f>
        <v/>
      </c>
    </row>
    <row r="14">
      <c r="A14" s="30" t="inlineStr">
        <is>
          <t>Total Contributions</t>
        </is>
      </c>
      <c r="B14" s="31">
        <f>SUM(B12:B13)</f>
        <v/>
      </c>
      <c r="C14" s="31">
        <f>SUM(C12:C13)</f>
        <v/>
      </c>
      <c r="D14" s="31">
        <f>B14+C14</f>
        <v/>
      </c>
    </row>
    <row r="15"/>
    <row r="16" ht="22" customHeight="1">
      <c r="A16" s="3" t="inlineStr">
        <is>
          <t>DISTRIBUTIONS DURING 2025</t>
        </is>
      </c>
    </row>
    <row r="17">
      <c r="A17" s="28" t="inlineStr">
        <is>
          <t>Cash distributions / draws</t>
        </is>
      </c>
      <c r="B17" s="29" t="n">
        <v>-46.22</v>
      </c>
      <c r="C17" s="29" t="n">
        <v>-44.41</v>
      </c>
      <c r="D17" s="29" t="n">
        <v>-90.63</v>
      </c>
    </row>
    <row r="18" ht="25" customHeight="1">
      <c r="A18" s="48" t="n"/>
    </row>
    <row r="19"/>
    <row r="20" ht="22" customHeight="1">
      <c r="A20" s="3" t="inlineStr">
        <is>
          <t>NET LOSS ALLOCATION</t>
        </is>
      </c>
    </row>
    <row r="21">
      <c r="A21" s="32" t="inlineStr">
        <is>
          <t>Net loss for 2025</t>
        </is>
      </c>
      <c r="B21" s="33" t="n">
        <v>-1025.1153</v>
      </c>
      <c r="C21" s="33" t="n">
        <v>-984.9146999999999</v>
      </c>
      <c r="D21" s="33">
        <f>B21+C21</f>
        <v/>
      </c>
    </row>
    <row r="22"/>
    <row r="23" ht="22" customHeight="1">
      <c r="A23" s="3" t="inlineStr">
        <is>
          <t>ENDING CAPITAL (December 31, 2025)</t>
        </is>
      </c>
    </row>
    <row r="24">
      <c r="A24" s="34" t="inlineStr">
        <is>
          <t>Ending Capital Balance</t>
        </is>
      </c>
      <c r="B24" s="35">
        <f>B9+B14+B17+B21</f>
        <v/>
      </c>
      <c r="C24" s="35">
        <f>C9+C14+C17+C21</f>
        <v/>
      </c>
      <c r="D24" s="35">
        <f>B24+C24</f>
        <v/>
      </c>
    </row>
    <row r="25"/>
    <row r="26" ht="22" customHeight="1">
      <c r="A26" s="3" t="inlineStr">
        <is>
          <t>SCHEDULE K-1 BOX SUMMARY (Per Partner)</t>
        </is>
      </c>
    </row>
    <row r="27">
      <c r="A27" s="28" t="inlineStr">
        <is>
          <t>Box 1 – Ordinary business loss</t>
        </is>
      </c>
      <c r="B27" s="29" t="n">
        <v>-1025.1153</v>
      </c>
      <c r="C27" s="29" t="n">
        <v>-984.9146999999999</v>
      </c>
      <c r="D27" s="29">
        <f>B27+C27</f>
        <v/>
      </c>
    </row>
    <row r="28">
      <c r="A28" s="28" t="inlineStr">
        <is>
          <t>Box 2 – Net rental real estate income</t>
        </is>
      </c>
      <c r="B28" s="29" t="n">
        <v>0</v>
      </c>
      <c r="C28" s="29" t="n">
        <v>0</v>
      </c>
      <c r="D28" s="29">
        <f>B28+C28</f>
        <v/>
      </c>
    </row>
    <row r="29">
      <c r="A29" s="28" t="inlineStr">
        <is>
          <t>Box 5 – Interest income</t>
        </is>
      </c>
      <c r="B29" s="29" t="n">
        <v>0.01</v>
      </c>
      <c r="C29" s="29" t="n">
        <v>0.01</v>
      </c>
      <c r="D29" s="29">
        <f>B29+C29</f>
        <v/>
      </c>
    </row>
    <row r="30">
      <c r="A30" s="28" t="inlineStr">
        <is>
          <t>Box 19 – Distributions</t>
        </is>
      </c>
      <c r="B30" s="29" t="n">
        <v>-46.22</v>
      </c>
      <c r="C30" s="29" t="n">
        <v>-44.41</v>
      </c>
      <c r="D30" s="29" t="n">
        <v>-90.63</v>
      </c>
    </row>
    <row r="31">
      <c r="A31" s="28" t="inlineStr">
        <is>
          <t>Box 20 – Other information</t>
        </is>
      </c>
      <c r="B31" s="29" t="n">
        <v>0</v>
      </c>
      <c r="C31" s="29" t="n">
        <v>0</v>
      </c>
      <c r="D31" s="29">
        <f>B31+C31</f>
        <v/>
      </c>
    </row>
    <row r="32"/>
    <row r="33" ht="30" customHeight="1">
      <c r="A33" s="16" t="inlineStr">
        <is>
          <t>⚠️  Note: This is a support schedule only. Have a CPA review Form 1065 and Schedule K-1s before filing. Multi-member LLC partnership returns are complex.</t>
        </is>
      </c>
    </row>
  </sheetData>
  <mergeCells count="11">
    <mergeCell ref="A1:D1"/>
    <mergeCell ref="A23:D23"/>
    <mergeCell ref="A18:D18"/>
    <mergeCell ref="A8:D8"/>
    <mergeCell ref="A3:D3"/>
    <mergeCell ref="A20:D20"/>
    <mergeCell ref="A26:D26"/>
    <mergeCell ref="A2:D2"/>
    <mergeCell ref="A11:D11"/>
    <mergeCell ref="A16:D16"/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Torus Coffee Company LLC</t>
        </is>
      </c>
    </row>
    <row r="2" ht="30" customHeight="1">
      <c r="A2" s="1" t="inlineStr">
        <is>
          <t>Fixed Asset Depreciation Schedule – MACRS</t>
        </is>
      </c>
    </row>
    <row r="3">
      <c r="A3" s="2" t="inlineStr">
        <is>
          <t>For the Year Ended December 31, 2025</t>
        </is>
      </c>
    </row>
    <row r="5" ht="35" customHeight="1">
      <c r="A5" s="23" t="inlineStr">
        <is>
          <t>Asset</t>
        </is>
      </c>
      <c r="B5" s="23" t="inlineStr">
        <is>
          <t>Date In
Service</t>
        </is>
      </c>
      <c r="C5" s="23" t="inlineStr">
        <is>
          <t>Cost
Basis</t>
        </is>
      </c>
      <c r="D5" s="23" t="inlineStr">
        <is>
          <t>Property
Type</t>
        </is>
      </c>
      <c r="E5" s="23" t="inlineStr">
        <is>
          <t>MACRS
Rate Yr1</t>
        </is>
      </c>
      <c r="F5" s="23" t="inlineStr">
        <is>
          <t>2025
Depreciation</t>
        </is>
      </c>
      <c r="G5" s="23" t="inlineStr">
        <is>
          <t>Accum.
Deprec.</t>
        </is>
      </c>
      <c r="H5" s="23" t="inlineStr">
        <is>
          <t>Net
Book Value</t>
        </is>
      </c>
    </row>
    <row r="6">
      <c r="A6" s="36" t="inlineStr">
        <is>
          <t>Harvest Right Freeze Dryer</t>
        </is>
      </c>
      <c r="B6" s="37" t="inlineStr">
        <is>
          <t>05/01/2025</t>
        </is>
      </c>
      <c r="C6" s="38" t="n">
        <v>2661.64</v>
      </c>
      <c r="D6" s="37" t="inlineStr">
        <is>
          <t>7-year</t>
        </is>
      </c>
      <c r="E6" s="39" t="n">
        <v>0.1429</v>
      </c>
      <c r="F6" s="38" t="n">
        <v>380.35</v>
      </c>
      <c r="G6" s="38" t="n">
        <v>380.35</v>
      </c>
      <c r="H6" s="38" t="n">
        <v>2281.29</v>
      </c>
    </row>
    <row r="7">
      <c r="A7" s="40" t="inlineStr">
        <is>
          <t>GRIDMANN Stainless Steel Table</t>
        </is>
      </c>
      <c r="B7" s="41" t="inlineStr">
        <is>
          <t>05/01/2025</t>
        </is>
      </c>
      <c r="C7" s="42" t="n">
        <v>236.36</v>
      </c>
      <c r="D7" s="41" t="inlineStr">
        <is>
          <t>7-year</t>
        </is>
      </c>
      <c r="E7" s="43" t="n">
        <v>0.1429</v>
      </c>
      <c r="F7" s="42" t="n">
        <v>33.77</v>
      </c>
      <c r="G7" s="42" t="n">
        <v>33.77</v>
      </c>
      <c r="H7" s="42" t="n">
        <v>202.59</v>
      </c>
    </row>
    <row r="8">
      <c r="A8" s="36" t="inlineStr">
        <is>
          <t>NIKICAM Digital Camera &amp; Light Box</t>
        </is>
      </c>
      <c r="B8" s="37" t="inlineStr">
        <is>
          <t>05/05/2025</t>
        </is>
      </c>
      <c r="C8" s="38" t="n">
        <v>154.85</v>
      </c>
      <c r="D8" s="37" t="inlineStr">
        <is>
          <t>5-year</t>
        </is>
      </c>
      <c r="E8" s="39" t="n">
        <v>0.2</v>
      </c>
      <c r="F8" s="38" t="n">
        <v>30.97</v>
      </c>
      <c r="G8" s="38" t="n">
        <v>30.97</v>
      </c>
      <c r="H8" s="38" t="n">
        <v>123.88</v>
      </c>
    </row>
    <row r="9">
      <c r="A9" s="40" t="inlineStr">
        <is>
          <t>MUNBYN Bluetooth Label Printer</t>
        </is>
      </c>
      <c r="B9" s="41" t="inlineStr">
        <is>
          <t>05/04/2025</t>
        </is>
      </c>
      <c r="C9" s="42" t="n">
        <v>85.98999999999999</v>
      </c>
      <c r="D9" s="41" t="inlineStr">
        <is>
          <t>5-year</t>
        </is>
      </c>
      <c r="E9" s="43" t="n">
        <v>0.2</v>
      </c>
      <c r="F9" s="42" t="n">
        <v>17.2</v>
      </c>
      <c r="G9" s="42" t="n">
        <v>17.2</v>
      </c>
      <c r="H9" s="42" t="n">
        <v>68.78999999999999</v>
      </c>
    </row>
    <row r="10">
      <c r="A10" s="44" t="inlineStr">
        <is>
          <t>TOTALS</t>
        </is>
      </c>
      <c r="B10" s="44" t="n"/>
      <c r="C10" s="45">
        <f>SUM(C6:C9)</f>
        <v/>
      </c>
      <c r="D10" s="44" t="n"/>
      <c r="E10" s="44" t="n"/>
      <c r="F10" s="45">
        <f>SUM(F6:F9)</f>
        <v/>
      </c>
      <c r="G10" s="45">
        <f>SUM(G6:G9)</f>
        <v/>
      </c>
      <c r="H10" s="45">
        <f>SUM(H6:H9)</f>
        <v/>
      </c>
    </row>
    <row r="12" ht="40" customHeight="1">
      <c r="A12" s="16" t="inlineStr">
        <is>
          <t>Notes: MACRS half-year convention applied. 7-year property rate 14.29% Year 1. 5-year property rate 20.00% Year 1. Depreciation method: 200DB/HY. Section 179 and bonus depreciation declined in favor of standard MACRS depreciation.</t>
        </is>
      </c>
    </row>
  </sheetData>
  <mergeCells count="4">
    <mergeCell ref="A12:H12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2026-03-11T21:39:21Z</dcterms:created>
  <dcterms:modified xmlns:dcterms="http://purl.org/dc/terms/" xmlns:xsi="http://www.w3.org/2001/XMLSchema-instance" xsi:type="dcterms:W3CDTF">2026-03-12T01:22:12Z</dcterms:modified>
</cp:coreProperties>
</file>