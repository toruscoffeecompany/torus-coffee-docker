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<sst xmlns="http://schemas.openxmlformats.org/spreadsheetml/2006/main" count="167" uniqueCount="113">
  <si>
    <t>Q2 Expenses</t>
  </si>
  <si>
    <t>Item</t>
  </si>
  <si>
    <t>Cost</t>
  </si>
  <si>
    <t>Count</t>
  </si>
  <si>
    <t>Cost per Item</t>
  </si>
  <si>
    <t>Card Withdrawals</t>
  </si>
  <si>
    <t>Funfery 100 pcs Smell Proof Purple Mylar Holographic Bags Packaging Bags,Resealable Odor Proof Bag Foil Pouch Zipper Bag for Food Storage,Lipgloss,Jewelry,Eyelash Small Business Packing (4.7x7.9In)</t>
  </si>
  <si>
    <t>U.S. Bank National Association</t>
  </si>
  <si>
    <t>Funfery 100 pcs Black Smell Proof Mylar Holographic Bags Packaging Bags,Clear Resealable Odor Proof Bag Foil Pouch Bag for Food Storage,Gloss,Jewelry,Lash Packaging for Small Business(4.7x7.9In)</t>
  </si>
  <si>
    <t>Member FDIC</t>
  </si>
  <si>
    <t>400cc Oxygen Absorbers for Food Storage - 100 Count (20x Packs of 5) - for Long Term Food Storage &amp; Survival, Mylar Bags, Canning, Harvest Right Freeze Dryer, Dehydrated, and Preserved Foods</t>
  </si>
  <si>
    <t>TORUS COFFEE COMPANY LLC</t>
  </si>
  <si>
    <t>MUNBYN 4x6 Inch Direct Thermal Labels, 1000 Labels/2 Stacks(500 Pcs per Stack), Fanfold Shipping Label Paper for Thermal Printers, Permanent Adhesive Mailing Postage Labels for Shipping Packages</t>
  </si>
  <si>
    <t>4439 E COURT ST</t>
  </si>
  <si>
    <t>Funfery 300 Pack 3 Size Mylar Holographic Bags with Clear Window,Resealable Bag Smell Proof Bags Zipper Foil Baggie Packaging Pouch for Food Storage,Sample,Small Business(Black,3x4.7,4x6,4.7x7.9in)</t>
  </si>
  <si>
    <t>IOWA CITY IA 52245-9306</t>
  </si>
  <si>
    <t>MUNBYN 2 Inch Circle Thermal Sticker Labels, Self-Adhesive Round Direct Thermal Labels for Business, 750 Sheets/1 Roll</t>
  </si>
  <si>
    <t>Account Number 1-964-9139-5287</t>
  </si>
  <si>
    <t>MUNBYN 4"x6" Pink Direct Thermal Shipping Labels, Commercial Grade Permanent Adhesive Fanfold Mailing Postage Label Paper for Thermal Printers and Packages, 500 Sheets per Stack</t>
  </si>
  <si>
    <t>Apr 21 Fee ATM Withdrawal At Other Network 2100022827 $ 2.50-</t>
  </si>
  <si>
    <t>2" Circle Holographic Thermal Sticker Labels, Printable Thermal Labels Sticker Rainbow Glitter for Price, Barcode, Name, DIY Custom Logo Design (500 Pcs/Roll) Aurora Purple</t>
  </si>
  <si>
    <t>Card Number: xxxx-xxxx-xxxx-8572</t>
  </si>
  <si>
    <t>Apr 17 Debit Purchase - VISA</t>
  </si>
  <si>
    <t>AMAZON MKTPL*TR2</t>
  </si>
  <si>
    <t>************8572</t>
  </si>
  <si>
    <t>On 041625 Amzn.com/bil WA</t>
  </si>
  <si>
    <t>REF # 24692165106108420038729</t>
  </si>
  <si>
    <t>6108420038 $ 236.36-</t>
  </si>
  <si>
    <t>Apr 18 Debit Purchase - VISA</t>
  </si>
  <si>
    <t>AMAZON MARK* 995</t>
  </si>
  <si>
    <t>On 041625 AMAZON.COM/M WA</t>
  </si>
  <si>
    <t>REF # 24011345107100110354434</t>
  </si>
  <si>
    <t>7100110354 53.03-</t>
  </si>
  <si>
    <t>Apr 21 ATM Withdrawal</t>
  </si>
  <si>
    <t>370 SCOTT CT IOWA CITY IA</t>
  </si>
  <si>
    <t>Serial No. 001967190556PLUSTERM</t>
  </si>
  <si>
    <t>Apr 23 Debit Purchase</t>
  </si>
  <si>
    <t>KUM&amp;GO 3502R IOW IOWA CITY IA</t>
  </si>
  <si>
    <t>On 042325 ILNKILNK REF 511301575520</t>
  </si>
  <si>
    <t>2004230019 17.29-</t>
  </si>
  <si>
    <t>CASEYS #3858 370 IOWA CITY IA</t>
  </si>
  <si>
    <t>On 042225 ILK1TERM REF 511300261488</t>
  </si>
  <si>
    <t>8804221924 27.17-</t>
  </si>
  <si>
    <t>Apr 24 Debit Purchase</t>
  </si>
  <si>
    <t>On 042425 ILK1TERM REF 511421000624</t>
  </si>
  <si>
    <t>2404241600 40.70-</t>
  </si>
  <si>
    <t>Apr 25 Debit Purchase</t>
  </si>
  <si>
    <t>On 042525 ILNKILNK REF 511516457434</t>
  </si>
  <si>
    <t>3404251156 32.11-</t>
  </si>
  <si>
    <t>Apr 28 Debit Purchase</t>
  </si>
  <si>
    <t>On 042825 ILK1TERM REF 511817856403</t>
  </si>
  <si>
    <t>0304281240 4.63-</t>
  </si>
  <si>
    <t>Apr 28 Debit Purchase - VISA</t>
  </si>
  <si>
    <t>HARVEST RIGHT</t>
  </si>
  <si>
    <t>On 042725 801-3868960 UT</t>
  </si>
  <si>
    <t>REF # 24755425117271178373315</t>
  </si>
  <si>
    <t>7271178373 16.94-</t>
  </si>
  <si>
    <t>On 042725 ILK1TERM REF 511723106378</t>
  </si>
  <si>
    <t>7804271817 17.22-</t>
  </si>
  <si>
    <t>HY-VEE IOWA CITY IOWA CITY IA</t>
  </si>
  <si>
    <t>On 042825 ILK1TERM REF 511819717543</t>
  </si>
  <si>
    <t>You Requested $15 In Cash Back</t>
  </si>
  <si>
    <t>4304281430 30.40-</t>
  </si>
  <si>
    <t>AMAZON MARK* GJ1</t>
  </si>
  <si>
    <t>On 042525 AMAZON.COM/M WA</t>
  </si>
  <si>
    <t>REF # 24011345116100053330952</t>
  </si>
  <si>
    <t>6100053330 208.60-</t>
  </si>
  <si>
    <t>Apr 29 Debit Purchase</t>
  </si>
  <si>
    <t>On 042925 ILNKILNK REF 511913362517</t>
  </si>
  <si>
    <t>1704290847 1.47-</t>
  </si>
  <si>
    <t>Apr 29 Debit Purchase - VISA</t>
  </si>
  <si>
    <t>EVERGREEN SMOKE</t>
  </si>
  <si>
    <t>On 042825 IOWA CITY IA</t>
  </si>
  <si>
    <t>REF # 24801975119321705564013</t>
  </si>
  <si>
    <t>9321705564 29.68-</t>
  </si>
  <si>
    <t>On 042825 ILK1TERM REF 511822919880</t>
  </si>
  <si>
    <t>You Requested $20 In Cash Back</t>
  </si>
  <si>
    <t>8004281751 40.55-</t>
  </si>
  <si>
    <t>Apr 30 Debit Purchase</t>
  </si>
  <si>
    <t>On 042925 ILK1TERM REF 511923745921</t>
  </si>
  <si>
    <t>2104291827 49.72-</t>
  </si>
  <si>
    <t>May 5 Debit Purchase</t>
  </si>
  <si>
    <t>On 050525 ILNKILNK REF 512521130437</t>
  </si>
  <si>
    <t>3705051612 $ 2.41-</t>
  </si>
  <si>
    <t>On 050525 ILNKILNK REF 512521061470</t>
  </si>
  <si>
    <t>You Requested $5 In Cash Back</t>
  </si>
  <si>
    <t>7005051600 14.93-</t>
  </si>
  <si>
    <t>On 050325 ILK1TERM REF 512319261419</t>
  </si>
  <si>
    <t>You Requested $10 In Cash Back</t>
  </si>
  <si>
    <t>1905031435 59.44-</t>
  </si>
  <si>
    <t>May 13 Debit Purchase - VISA</t>
  </si>
  <si>
    <t>PROGRESSIVE *INS</t>
  </si>
  <si>
    <t>On 050925 800-776-4737 OH</t>
  </si>
  <si>
    <t>REF # 24692165130106577542642</t>
  </si>
  <si>
    <t>0106577542 237.04-</t>
  </si>
  <si>
    <t>REF # 24692165130106577625223</t>
  </si>
  <si>
    <t>0106577625 908.16-</t>
  </si>
  <si>
    <t>Jun 2 Debit Purchase</t>
  </si>
  <si>
    <t>************6823</t>
  </si>
  <si>
    <t>On 060225 ILK1TERM REF 515308821597</t>
  </si>
  <si>
    <t>9706020743 $ 2.53-</t>
  </si>
  <si>
    <t>On 060125 ILK1TERM REF 515218409995</t>
  </si>
  <si>
    <t>9506011359 7.00-</t>
  </si>
  <si>
    <t>On 060125 ILNKILNK REF 515219521535</t>
  </si>
  <si>
    <t>3506011409 11.38-</t>
  </si>
  <si>
    <t>On 060125 ILK1TERM REF 515218412144</t>
  </si>
  <si>
    <t>4406011359 21.16-</t>
  </si>
  <si>
    <t>Jun 9 Debit Purchase</t>
  </si>
  <si>
    <t>On 060925 ILNKILNK REF 516015547947</t>
  </si>
  <si>
    <t>4706091008 3.79-</t>
  </si>
  <si>
    <t>Jun 10 Debit Purchase</t>
  </si>
  <si>
    <t>On 061025 ILK1TERM REF 516112336373</t>
  </si>
  <si>
    <t>7306100741 1.69-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</si>
</sst>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00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63"/>
    <col customWidth="1" min="5" max="5" width="104.0"/>
  </cols>
  <sheetData>
    <row r="1">
      <c r="A1" s="1" t="s">
        <v>0</v>
      </c>
      <c r="B1" s="1"/>
      <c r="C1" s="1"/>
      <c r="D1" s="1"/>
      <c r="E1" s="1" t="s">
        <v>1</v>
      </c>
      <c r="F1" s="1" t="s">
        <v>2</v>
      </c>
      <c r="G1" s="1" t="s">
        <v>3</v>
      </c>
      <c r="H1" s="1" t="s">
        <v>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5</v>
      </c>
      <c r="B2" s="1"/>
      <c r="C2" s="1"/>
      <c r="D2" s="1"/>
      <c r="E2" s="2" t="s">
        <v>6</v>
      </c>
      <c r="F2" s="3">
        <v>14.83</v>
      </c>
      <c r="G2" s="4">
        <v>100.0</v>
      </c>
      <c r="H2" s="5">
        <f t="shared" ref="H2:H9" si="1">sum(F2/G2)</f>
        <v>0.1483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7</v>
      </c>
      <c r="B3" s="1"/>
      <c r="C3" s="1"/>
      <c r="D3" s="1"/>
      <c r="E3" s="2" t="s">
        <v>8</v>
      </c>
      <c r="F3" s="3">
        <v>14.83</v>
      </c>
      <c r="G3" s="4">
        <v>100.0</v>
      </c>
      <c r="H3" s="5">
        <f t="shared" si="1"/>
        <v>0.1483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9</v>
      </c>
      <c r="B4" s="1"/>
      <c r="C4" s="1"/>
      <c r="D4" s="1"/>
      <c r="E4" s="2" t="s">
        <v>10</v>
      </c>
      <c r="F4" s="3">
        <v>8.58</v>
      </c>
      <c r="G4" s="4">
        <v>100.0</v>
      </c>
      <c r="H4" s="5">
        <f t="shared" si="1"/>
        <v>0.0858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11</v>
      </c>
      <c r="B5" s="1"/>
      <c r="C5" s="1"/>
      <c r="D5" s="1"/>
      <c r="E5" s="2" t="s">
        <v>12</v>
      </c>
      <c r="F5" s="3">
        <v>38.1388</v>
      </c>
      <c r="G5" s="4">
        <v>1000.0</v>
      </c>
      <c r="H5" s="5">
        <f t="shared" si="1"/>
        <v>0.0381388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13</v>
      </c>
      <c r="B6" s="1"/>
      <c r="C6" s="1"/>
      <c r="D6" s="1"/>
      <c r="E6" s="2" t="s">
        <v>14</v>
      </c>
      <c r="F6" s="3">
        <v>18.0094</v>
      </c>
      <c r="G6" s="4">
        <v>300.0</v>
      </c>
      <c r="H6" s="5">
        <f t="shared" si="1"/>
        <v>0.06003133333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15</v>
      </c>
      <c r="B7" s="1"/>
      <c r="C7" s="1"/>
      <c r="D7" s="1"/>
      <c r="E7" s="2" t="s">
        <v>16</v>
      </c>
      <c r="F7" s="3">
        <v>13.7694</v>
      </c>
      <c r="G7" s="4">
        <v>750.0</v>
      </c>
      <c r="H7" s="5">
        <f t="shared" si="1"/>
        <v>0.0183592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17</v>
      </c>
      <c r="B8" s="1"/>
      <c r="C8" s="1"/>
      <c r="D8" s="1"/>
      <c r="E8" s="2" t="s">
        <v>18</v>
      </c>
      <c r="F8" s="3">
        <v>25.4294</v>
      </c>
      <c r="G8" s="4">
        <v>500.0</v>
      </c>
      <c r="H8" s="5">
        <f t="shared" si="1"/>
        <v>0.0508588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19</v>
      </c>
      <c r="B9" s="1"/>
      <c r="C9" s="1"/>
      <c r="D9" s="1"/>
      <c r="E9" s="2" t="s">
        <v>20</v>
      </c>
      <c r="F9" s="3">
        <v>19.0694</v>
      </c>
      <c r="G9" s="4">
        <v>500.0</v>
      </c>
      <c r="H9" s="5">
        <f t="shared" si="1"/>
        <v>0.0381388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21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30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31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32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33</v>
      </c>
      <c r="B23" s="4">
        <v>53.03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34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35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36</v>
      </c>
      <c r="B28" s="4">
        <v>43.25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">
        <v>575520.0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24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37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38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39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36</v>
      </c>
      <c r="B34" s="4">
        <v>17.29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4">
        <v>261488.0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24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40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41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42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43</v>
      </c>
      <c r="B40" s="4">
        <v>27.17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4">
        <v>624.0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24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40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44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45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46</v>
      </c>
      <c r="B46" s="4">
        <v>40.7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4">
        <v>457434.0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24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40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47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48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49</v>
      </c>
      <c r="B52" s="4">
        <v>32.11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4">
        <v>856403.0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24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40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50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51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52</v>
      </c>
      <c r="B58" s="4">
        <v>4.63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53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24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54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55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56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49</v>
      </c>
      <c r="B64" s="4">
        <v>16.94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4">
        <v>106378.0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24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40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57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58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49</v>
      </c>
      <c r="B70" s="4">
        <v>17.22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4">
        <v>717543.0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24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59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60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61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62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52</v>
      </c>
      <c r="B77" s="4">
        <v>30.4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63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24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64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65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66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67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4">
        <v>362517.0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24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40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68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69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70</v>
      </c>
      <c r="B89" s="4">
        <v>1.47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71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24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72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73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74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67</v>
      </c>
      <c r="B95" s="4">
        <v>29.68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4">
        <v>919880.0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24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40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75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76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77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78</v>
      </c>
      <c r="B102" s="4">
        <v>40.55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4">
        <v>745921.0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24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59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79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80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81</v>
      </c>
      <c r="B108" s="4">
        <v>49.72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4">
        <v>130437.0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24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40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82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83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81</v>
      </c>
      <c r="B114" s="4">
        <v>2.41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4">
        <v>61470.0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24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59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84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85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86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81</v>
      </c>
      <c r="B121" s="4">
        <v>14.93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4">
        <v>261419.0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24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59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87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88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89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90</v>
      </c>
      <c r="B128" s="4">
        <v>59.44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91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24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92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93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94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90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91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24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92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95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96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97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4">
        <v>821597.0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98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37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99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100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97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4">
        <v>409995.0</v>
      </c>
      <c r="B147" s="4">
        <v>2.53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98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59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101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102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97</v>
      </c>
      <c r="B152" s="4">
        <v>7.0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4">
        <v>521535.0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98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59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103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104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97</v>
      </c>
      <c r="B158" s="4">
        <v>11.38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4">
        <v>412144.0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98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59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105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106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107</v>
      </c>
      <c r="B164" s="4">
        <v>21.16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4">
        <v>547947.0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98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40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108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109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110</v>
      </c>
      <c r="B170" s="4">
        <v>3.79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4">
        <v>336373.0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98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40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111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112</v>
      </c>
      <c r="B175" s="4">
        <v>1.69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4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</sheetData>
  <drawing r:id="rId1"/>
</worksheet>
</file>